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ashwat Dhar\Desktop\;)\Resumes, Certs, and Projects\"/>
    </mc:Choice>
  </mc:AlternateContent>
  <xr:revisionPtr revIDLastSave="0" documentId="13_ncr:1_{C9A6AE3D-375A-4864-B7E4-3CE35C70E8A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2" r:id="rId1"/>
    <sheet name="Calculation" sheetId="1" r:id="rId2"/>
    <sheet name="Charts" sheetId="3" r:id="rId3"/>
    <sheet name="Nestlé India Limited" sheetId="11" r:id="rId4"/>
    <sheet name="Pidilite Industries Limited" sheetId="12" r:id="rId5"/>
    <sheet name="Divi's Laboratories Limited" sheetId="13" r:id="rId6"/>
    <sheet name="Bosch Limited" sheetId="14" r:id="rId7"/>
    <sheet name="UltraTech Cement Limited" sheetId="15" r:id="rId8"/>
  </sheets>
  <definedNames>
    <definedName name="_xlnm._FilterDatabase" localSheetId="1" hidden="1">Calculation!$A$15:$G$277</definedName>
    <definedName name="_xlnm._FilterDatabase" localSheetId="3" hidden="1">'Nestlé India Limited'!$A$51:$D$1477</definedName>
    <definedName name="_xlnm._FilterDatabase" localSheetId="7" hidden="1">'UltraTech Cement Limited'!$A$51:$D$313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" i="3"/>
  <c r="G262" i="1"/>
  <c r="F262" i="1"/>
  <c r="E262" i="1"/>
  <c r="D262" i="1"/>
  <c r="C262" i="1"/>
  <c r="P261" i="1"/>
  <c r="N261" i="1"/>
  <c r="M261" i="1"/>
  <c r="L261" i="1"/>
  <c r="K261" i="1"/>
  <c r="J261" i="1"/>
  <c r="I261" i="1"/>
  <c r="G261" i="1"/>
  <c r="F261" i="1"/>
  <c r="E261" i="1"/>
  <c r="D261" i="1"/>
  <c r="C261" i="1"/>
  <c r="P260" i="1"/>
  <c r="N260" i="1"/>
  <c r="M260" i="1"/>
  <c r="L260" i="1"/>
  <c r="K260" i="1"/>
  <c r="J260" i="1"/>
  <c r="I260" i="1"/>
  <c r="G260" i="1"/>
  <c r="F260" i="1"/>
  <c r="E260" i="1"/>
  <c r="D260" i="1"/>
  <c r="C260" i="1"/>
  <c r="P259" i="1"/>
  <c r="N259" i="1"/>
  <c r="M259" i="1"/>
  <c r="L259" i="1"/>
  <c r="K259" i="1"/>
  <c r="J259" i="1"/>
  <c r="I259" i="1"/>
  <c r="G259" i="1"/>
  <c r="F259" i="1"/>
  <c r="E259" i="1"/>
  <c r="D259" i="1"/>
  <c r="C259" i="1"/>
  <c r="P258" i="1"/>
  <c r="N258" i="1"/>
  <c r="M258" i="1"/>
  <c r="L258" i="1"/>
  <c r="K258" i="1"/>
  <c r="J258" i="1"/>
  <c r="I258" i="1"/>
  <c r="G258" i="1"/>
  <c r="F258" i="1"/>
  <c r="E258" i="1"/>
  <c r="D258" i="1"/>
  <c r="C258" i="1"/>
  <c r="P257" i="1"/>
  <c r="N257" i="1"/>
  <c r="M257" i="1"/>
  <c r="L257" i="1"/>
  <c r="K257" i="1"/>
  <c r="J257" i="1"/>
  <c r="I257" i="1"/>
  <c r="G257" i="1"/>
  <c r="F257" i="1"/>
  <c r="E257" i="1"/>
  <c r="D257" i="1"/>
  <c r="C257" i="1"/>
  <c r="P256" i="1"/>
  <c r="N256" i="1"/>
  <c r="M256" i="1"/>
  <c r="L256" i="1"/>
  <c r="K256" i="1"/>
  <c r="J256" i="1"/>
  <c r="I256" i="1"/>
  <c r="G256" i="1"/>
  <c r="F256" i="1"/>
  <c r="E256" i="1"/>
  <c r="D256" i="1"/>
  <c r="C256" i="1"/>
  <c r="P255" i="1"/>
  <c r="N255" i="1"/>
  <c r="M255" i="1"/>
  <c r="L255" i="1"/>
  <c r="K255" i="1"/>
  <c r="J255" i="1"/>
  <c r="I255" i="1"/>
  <c r="G255" i="1"/>
  <c r="F255" i="1"/>
  <c r="E255" i="1"/>
  <c r="D255" i="1"/>
  <c r="C255" i="1"/>
  <c r="P254" i="1"/>
  <c r="N254" i="1"/>
  <c r="M254" i="1"/>
  <c r="L254" i="1"/>
  <c r="K254" i="1"/>
  <c r="J254" i="1"/>
  <c r="I254" i="1"/>
  <c r="G254" i="1"/>
  <c r="F254" i="1"/>
  <c r="E254" i="1"/>
  <c r="D254" i="1"/>
  <c r="C254" i="1"/>
  <c r="P253" i="1"/>
  <c r="N253" i="1"/>
  <c r="M253" i="1"/>
  <c r="L253" i="1"/>
  <c r="K253" i="1"/>
  <c r="J253" i="1"/>
  <c r="I253" i="1"/>
  <c r="G253" i="1"/>
  <c r="F253" i="1"/>
  <c r="E253" i="1"/>
  <c r="D253" i="1"/>
  <c r="C253" i="1"/>
  <c r="P252" i="1"/>
  <c r="N252" i="1"/>
  <c r="M252" i="1"/>
  <c r="L252" i="1"/>
  <c r="K252" i="1"/>
  <c r="J252" i="1"/>
  <c r="I252" i="1"/>
  <c r="G252" i="1"/>
  <c r="F252" i="1"/>
  <c r="E252" i="1"/>
  <c r="D252" i="1"/>
  <c r="C252" i="1"/>
  <c r="P251" i="1"/>
  <c r="N251" i="1"/>
  <c r="M251" i="1"/>
  <c r="L251" i="1"/>
  <c r="K251" i="1"/>
  <c r="J251" i="1"/>
  <c r="I251" i="1"/>
  <c r="G251" i="1"/>
  <c r="F251" i="1"/>
  <c r="E251" i="1"/>
  <c r="D251" i="1"/>
  <c r="C251" i="1"/>
  <c r="P250" i="1"/>
  <c r="N250" i="1"/>
  <c r="M250" i="1"/>
  <c r="L250" i="1"/>
  <c r="K250" i="1"/>
  <c r="J250" i="1"/>
  <c r="I250" i="1"/>
  <c r="G250" i="1"/>
  <c r="F250" i="1"/>
  <c r="E250" i="1"/>
  <c r="D250" i="1"/>
  <c r="C250" i="1"/>
  <c r="P249" i="1"/>
  <c r="N249" i="1"/>
  <c r="M249" i="1"/>
  <c r="L249" i="1"/>
  <c r="K249" i="1"/>
  <c r="J249" i="1"/>
  <c r="I249" i="1"/>
  <c r="G249" i="1"/>
  <c r="F249" i="1"/>
  <c r="E249" i="1"/>
  <c r="D249" i="1"/>
  <c r="C249" i="1"/>
  <c r="P248" i="1"/>
  <c r="N248" i="1"/>
  <c r="M248" i="1"/>
  <c r="L248" i="1"/>
  <c r="K248" i="1"/>
  <c r="J248" i="1"/>
  <c r="I248" i="1"/>
  <c r="G248" i="1"/>
  <c r="F248" i="1"/>
  <c r="E248" i="1"/>
  <c r="D248" i="1"/>
  <c r="C248" i="1"/>
  <c r="P247" i="1"/>
  <c r="N247" i="1"/>
  <c r="M247" i="1"/>
  <c r="L247" i="1"/>
  <c r="K247" i="1"/>
  <c r="J247" i="1"/>
  <c r="I247" i="1"/>
  <c r="G247" i="1"/>
  <c r="F247" i="1"/>
  <c r="E247" i="1"/>
  <c r="D247" i="1"/>
  <c r="C247" i="1"/>
  <c r="P246" i="1"/>
  <c r="N246" i="1"/>
  <c r="M246" i="1"/>
  <c r="L246" i="1"/>
  <c r="K246" i="1"/>
  <c r="J246" i="1"/>
  <c r="I246" i="1"/>
  <c r="G246" i="1"/>
  <c r="F246" i="1"/>
  <c r="E246" i="1"/>
  <c r="D246" i="1"/>
  <c r="C246" i="1"/>
  <c r="P245" i="1"/>
  <c r="N245" i="1"/>
  <c r="M245" i="1"/>
  <c r="L245" i="1"/>
  <c r="K245" i="1"/>
  <c r="J245" i="1"/>
  <c r="I245" i="1"/>
  <c r="G245" i="1"/>
  <c r="F245" i="1"/>
  <c r="E245" i="1"/>
  <c r="D245" i="1"/>
  <c r="C245" i="1"/>
  <c r="P244" i="1"/>
  <c r="N244" i="1"/>
  <c r="M244" i="1"/>
  <c r="L244" i="1"/>
  <c r="K244" i="1"/>
  <c r="J244" i="1"/>
  <c r="I244" i="1"/>
  <c r="G244" i="1"/>
  <c r="F244" i="1"/>
  <c r="E244" i="1"/>
  <c r="D244" i="1"/>
  <c r="C244" i="1"/>
  <c r="P243" i="1"/>
  <c r="N243" i="1"/>
  <c r="M243" i="1"/>
  <c r="L243" i="1"/>
  <c r="K243" i="1"/>
  <c r="J243" i="1"/>
  <c r="I243" i="1"/>
  <c r="G243" i="1"/>
  <c r="F243" i="1"/>
  <c r="E243" i="1"/>
  <c r="D243" i="1"/>
  <c r="C243" i="1"/>
  <c r="P242" i="1"/>
  <c r="N242" i="1"/>
  <c r="M242" i="1"/>
  <c r="L242" i="1"/>
  <c r="K242" i="1"/>
  <c r="J242" i="1"/>
  <c r="I242" i="1"/>
  <c r="G242" i="1"/>
  <c r="F242" i="1"/>
  <c r="E242" i="1"/>
  <c r="D242" i="1"/>
  <c r="C242" i="1"/>
  <c r="P241" i="1"/>
  <c r="N241" i="1"/>
  <c r="M241" i="1"/>
  <c r="L241" i="1"/>
  <c r="K241" i="1"/>
  <c r="J241" i="1"/>
  <c r="I241" i="1"/>
  <c r="G241" i="1"/>
  <c r="F241" i="1"/>
  <c r="E241" i="1"/>
  <c r="D241" i="1"/>
  <c r="C241" i="1"/>
  <c r="P240" i="1"/>
  <c r="N240" i="1"/>
  <c r="M240" i="1"/>
  <c r="L240" i="1"/>
  <c r="K240" i="1"/>
  <c r="J240" i="1"/>
  <c r="I240" i="1"/>
  <c r="G240" i="1"/>
  <c r="F240" i="1"/>
  <c r="E240" i="1"/>
  <c r="D240" i="1"/>
  <c r="C240" i="1"/>
  <c r="P239" i="1"/>
  <c r="N239" i="1"/>
  <c r="M239" i="1"/>
  <c r="L239" i="1"/>
  <c r="K239" i="1"/>
  <c r="J239" i="1"/>
  <c r="I239" i="1"/>
  <c r="G239" i="1"/>
  <c r="F239" i="1"/>
  <c r="E239" i="1"/>
  <c r="D239" i="1"/>
  <c r="C239" i="1"/>
  <c r="P238" i="1"/>
  <c r="N238" i="1"/>
  <c r="M238" i="1"/>
  <c r="L238" i="1"/>
  <c r="K238" i="1"/>
  <c r="J238" i="1"/>
  <c r="I238" i="1"/>
  <c r="G238" i="1"/>
  <c r="F238" i="1"/>
  <c r="E238" i="1"/>
  <c r="D238" i="1"/>
  <c r="C238" i="1"/>
  <c r="P237" i="1"/>
  <c r="N237" i="1"/>
  <c r="M237" i="1"/>
  <c r="L237" i="1"/>
  <c r="K237" i="1"/>
  <c r="J237" i="1"/>
  <c r="I237" i="1"/>
  <c r="G237" i="1"/>
  <c r="F237" i="1"/>
  <c r="E237" i="1"/>
  <c r="D237" i="1"/>
  <c r="C237" i="1"/>
  <c r="P236" i="1"/>
  <c r="N236" i="1"/>
  <c r="M236" i="1"/>
  <c r="L236" i="1"/>
  <c r="K236" i="1"/>
  <c r="J236" i="1"/>
  <c r="I236" i="1"/>
  <c r="G236" i="1"/>
  <c r="F236" i="1"/>
  <c r="E236" i="1"/>
  <c r="D236" i="1"/>
  <c r="C236" i="1"/>
  <c r="P235" i="1"/>
  <c r="N235" i="1"/>
  <c r="M235" i="1"/>
  <c r="L235" i="1"/>
  <c r="K235" i="1"/>
  <c r="J235" i="1"/>
  <c r="I235" i="1"/>
  <c r="G235" i="1"/>
  <c r="F235" i="1"/>
  <c r="E235" i="1"/>
  <c r="D235" i="1"/>
  <c r="C235" i="1"/>
  <c r="P234" i="1"/>
  <c r="N234" i="1"/>
  <c r="M234" i="1"/>
  <c r="L234" i="1"/>
  <c r="K234" i="1"/>
  <c r="J234" i="1"/>
  <c r="I234" i="1"/>
  <c r="G234" i="1"/>
  <c r="F234" i="1"/>
  <c r="E234" i="1"/>
  <c r="D234" i="1"/>
  <c r="C234" i="1"/>
  <c r="P233" i="1"/>
  <c r="N233" i="1"/>
  <c r="M233" i="1"/>
  <c r="L233" i="1"/>
  <c r="K233" i="1"/>
  <c r="J233" i="1"/>
  <c r="I233" i="1"/>
  <c r="G233" i="1"/>
  <c r="F233" i="1"/>
  <c r="E233" i="1"/>
  <c r="D233" i="1"/>
  <c r="C233" i="1"/>
  <c r="P232" i="1"/>
  <c r="N232" i="1"/>
  <c r="M232" i="1"/>
  <c r="L232" i="1"/>
  <c r="K232" i="1"/>
  <c r="J232" i="1"/>
  <c r="I232" i="1"/>
  <c r="G232" i="1"/>
  <c r="F232" i="1"/>
  <c r="E232" i="1"/>
  <c r="D232" i="1"/>
  <c r="C232" i="1"/>
  <c r="P231" i="1"/>
  <c r="N231" i="1"/>
  <c r="M231" i="1"/>
  <c r="L231" i="1"/>
  <c r="K231" i="1"/>
  <c r="J231" i="1"/>
  <c r="I231" i="1"/>
  <c r="G231" i="1"/>
  <c r="F231" i="1"/>
  <c r="E231" i="1"/>
  <c r="D231" i="1"/>
  <c r="C231" i="1"/>
  <c r="P230" i="1"/>
  <c r="N230" i="1"/>
  <c r="M230" i="1"/>
  <c r="L230" i="1"/>
  <c r="K230" i="1"/>
  <c r="J230" i="1"/>
  <c r="I230" i="1"/>
  <c r="G230" i="1"/>
  <c r="F230" i="1"/>
  <c r="E230" i="1"/>
  <c r="D230" i="1"/>
  <c r="C230" i="1"/>
  <c r="P229" i="1"/>
  <c r="N229" i="1"/>
  <c r="M229" i="1"/>
  <c r="L229" i="1"/>
  <c r="K229" i="1"/>
  <c r="J229" i="1"/>
  <c r="I229" i="1"/>
  <c r="G229" i="1"/>
  <c r="F229" i="1"/>
  <c r="E229" i="1"/>
  <c r="D229" i="1"/>
  <c r="C229" i="1"/>
  <c r="P228" i="1"/>
  <c r="N228" i="1"/>
  <c r="M228" i="1"/>
  <c r="L228" i="1"/>
  <c r="K228" i="1"/>
  <c r="J228" i="1"/>
  <c r="I228" i="1"/>
  <c r="G228" i="1"/>
  <c r="F228" i="1"/>
  <c r="E228" i="1"/>
  <c r="D228" i="1"/>
  <c r="C228" i="1"/>
  <c r="P227" i="1"/>
  <c r="N227" i="1"/>
  <c r="M227" i="1"/>
  <c r="L227" i="1"/>
  <c r="K227" i="1"/>
  <c r="J227" i="1"/>
  <c r="I227" i="1"/>
  <c r="G227" i="1"/>
  <c r="F227" i="1"/>
  <c r="E227" i="1"/>
  <c r="D227" i="1"/>
  <c r="C227" i="1"/>
  <c r="P226" i="1"/>
  <c r="N226" i="1"/>
  <c r="M226" i="1"/>
  <c r="L226" i="1"/>
  <c r="K226" i="1"/>
  <c r="J226" i="1"/>
  <c r="I226" i="1"/>
  <c r="G226" i="1"/>
  <c r="F226" i="1"/>
  <c r="E226" i="1"/>
  <c r="D226" i="1"/>
  <c r="C226" i="1"/>
  <c r="P225" i="1"/>
  <c r="N225" i="1"/>
  <c r="M225" i="1"/>
  <c r="L225" i="1"/>
  <c r="K225" i="1"/>
  <c r="J225" i="1"/>
  <c r="I225" i="1"/>
  <c r="G225" i="1"/>
  <c r="F225" i="1"/>
  <c r="E225" i="1"/>
  <c r="D225" i="1"/>
  <c r="C225" i="1"/>
  <c r="P224" i="1"/>
  <c r="N224" i="1"/>
  <c r="M224" i="1"/>
  <c r="L224" i="1"/>
  <c r="K224" i="1"/>
  <c r="J224" i="1"/>
  <c r="I224" i="1"/>
  <c r="G224" i="1"/>
  <c r="F224" i="1"/>
  <c r="E224" i="1"/>
  <c r="D224" i="1"/>
  <c r="C224" i="1"/>
  <c r="P223" i="1"/>
  <c r="N223" i="1"/>
  <c r="M223" i="1"/>
  <c r="L223" i="1"/>
  <c r="K223" i="1"/>
  <c r="J223" i="1"/>
  <c r="I223" i="1"/>
  <c r="G223" i="1"/>
  <c r="F223" i="1"/>
  <c r="E223" i="1"/>
  <c r="D223" i="1"/>
  <c r="C223" i="1"/>
  <c r="P222" i="1"/>
  <c r="N222" i="1"/>
  <c r="M222" i="1"/>
  <c r="L222" i="1"/>
  <c r="K222" i="1"/>
  <c r="J222" i="1"/>
  <c r="I222" i="1"/>
  <c r="G222" i="1"/>
  <c r="F222" i="1"/>
  <c r="E222" i="1"/>
  <c r="D222" i="1"/>
  <c r="C222" i="1"/>
  <c r="P221" i="1"/>
  <c r="N221" i="1"/>
  <c r="M221" i="1"/>
  <c r="L221" i="1"/>
  <c r="K221" i="1"/>
  <c r="J221" i="1"/>
  <c r="I221" i="1"/>
  <c r="G221" i="1"/>
  <c r="F221" i="1"/>
  <c r="E221" i="1"/>
  <c r="D221" i="1"/>
  <c r="C221" i="1"/>
  <c r="P220" i="1"/>
  <c r="N220" i="1"/>
  <c r="M220" i="1"/>
  <c r="L220" i="1"/>
  <c r="K220" i="1"/>
  <c r="J220" i="1"/>
  <c r="I220" i="1"/>
  <c r="G220" i="1"/>
  <c r="F220" i="1"/>
  <c r="E220" i="1"/>
  <c r="D220" i="1"/>
  <c r="C220" i="1"/>
  <c r="P219" i="1"/>
  <c r="N219" i="1"/>
  <c r="M219" i="1"/>
  <c r="L219" i="1"/>
  <c r="K219" i="1"/>
  <c r="J219" i="1"/>
  <c r="I219" i="1"/>
  <c r="G219" i="1"/>
  <c r="F219" i="1"/>
  <c r="E219" i="1"/>
  <c r="D219" i="1"/>
  <c r="C219" i="1"/>
  <c r="P218" i="1"/>
  <c r="N218" i="1"/>
  <c r="M218" i="1"/>
  <c r="L218" i="1"/>
  <c r="K218" i="1"/>
  <c r="J218" i="1"/>
  <c r="I218" i="1"/>
  <c r="G218" i="1"/>
  <c r="F218" i="1"/>
  <c r="E218" i="1"/>
  <c r="D218" i="1"/>
  <c r="C218" i="1"/>
  <c r="P217" i="1"/>
  <c r="N217" i="1"/>
  <c r="M217" i="1"/>
  <c r="L217" i="1"/>
  <c r="K217" i="1"/>
  <c r="J217" i="1"/>
  <c r="I217" i="1"/>
  <c r="G217" i="1"/>
  <c r="F217" i="1"/>
  <c r="E217" i="1"/>
  <c r="D217" i="1"/>
  <c r="C217" i="1"/>
  <c r="P216" i="1"/>
  <c r="N216" i="1"/>
  <c r="M216" i="1"/>
  <c r="L216" i="1"/>
  <c r="K216" i="1"/>
  <c r="J216" i="1"/>
  <c r="I216" i="1"/>
  <c r="G216" i="1"/>
  <c r="F216" i="1"/>
  <c r="E216" i="1"/>
  <c r="D216" i="1"/>
  <c r="C216" i="1"/>
  <c r="P215" i="1"/>
  <c r="N215" i="1"/>
  <c r="M215" i="1"/>
  <c r="L215" i="1"/>
  <c r="K215" i="1"/>
  <c r="J215" i="1"/>
  <c r="I215" i="1"/>
  <c r="G215" i="1"/>
  <c r="F215" i="1"/>
  <c r="E215" i="1"/>
  <c r="D215" i="1"/>
  <c r="C215" i="1"/>
  <c r="P214" i="1"/>
  <c r="N214" i="1"/>
  <c r="M214" i="1"/>
  <c r="L214" i="1"/>
  <c r="K214" i="1"/>
  <c r="J214" i="1"/>
  <c r="I214" i="1"/>
  <c r="G214" i="1"/>
  <c r="F214" i="1"/>
  <c r="E214" i="1"/>
  <c r="D214" i="1"/>
  <c r="C214" i="1"/>
  <c r="P213" i="1"/>
  <c r="N213" i="1"/>
  <c r="M213" i="1"/>
  <c r="L213" i="1"/>
  <c r="K213" i="1"/>
  <c r="J213" i="1"/>
  <c r="I213" i="1"/>
  <c r="G213" i="1"/>
  <c r="F213" i="1"/>
  <c r="E213" i="1"/>
  <c r="D213" i="1"/>
  <c r="C213" i="1"/>
  <c r="P212" i="1"/>
  <c r="N212" i="1"/>
  <c r="M212" i="1"/>
  <c r="L212" i="1"/>
  <c r="K212" i="1"/>
  <c r="J212" i="1"/>
  <c r="I212" i="1"/>
  <c r="G212" i="1"/>
  <c r="F212" i="1"/>
  <c r="E212" i="1"/>
  <c r="D212" i="1"/>
  <c r="C212" i="1"/>
  <c r="P211" i="1"/>
  <c r="N211" i="1"/>
  <c r="M211" i="1"/>
  <c r="L211" i="1"/>
  <c r="K211" i="1"/>
  <c r="J211" i="1"/>
  <c r="I211" i="1"/>
  <c r="G211" i="1"/>
  <c r="F211" i="1"/>
  <c r="E211" i="1"/>
  <c r="D211" i="1"/>
  <c r="C211" i="1"/>
  <c r="P210" i="1"/>
  <c r="N210" i="1"/>
  <c r="M210" i="1"/>
  <c r="L210" i="1"/>
  <c r="K210" i="1"/>
  <c r="J210" i="1"/>
  <c r="I210" i="1"/>
  <c r="G210" i="1"/>
  <c r="F210" i="1"/>
  <c r="E210" i="1"/>
  <c r="D210" i="1"/>
  <c r="C210" i="1"/>
  <c r="P209" i="1"/>
  <c r="N209" i="1"/>
  <c r="M209" i="1"/>
  <c r="L209" i="1"/>
  <c r="K209" i="1"/>
  <c r="J209" i="1"/>
  <c r="I209" i="1"/>
  <c r="G209" i="1"/>
  <c r="F209" i="1"/>
  <c r="E209" i="1"/>
  <c r="D209" i="1"/>
  <c r="C209" i="1"/>
  <c r="P208" i="1"/>
  <c r="N208" i="1"/>
  <c r="M208" i="1"/>
  <c r="L208" i="1"/>
  <c r="K208" i="1"/>
  <c r="J208" i="1"/>
  <c r="I208" i="1"/>
  <c r="G208" i="1"/>
  <c r="F208" i="1"/>
  <c r="E208" i="1"/>
  <c r="D208" i="1"/>
  <c r="C208" i="1"/>
  <c r="P207" i="1"/>
  <c r="N207" i="1"/>
  <c r="M207" i="1"/>
  <c r="L207" i="1"/>
  <c r="K207" i="1"/>
  <c r="J207" i="1"/>
  <c r="I207" i="1"/>
  <c r="G207" i="1"/>
  <c r="F207" i="1"/>
  <c r="E207" i="1"/>
  <c r="D207" i="1"/>
  <c r="C207" i="1"/>
  <c r="P206" i="1"/>
  <c r="N206" i="1"/>
  <c r="M206" i="1"/>
  <c r="L206" i="1"/>
  <c r="K206" i="1"/>
  <c r="J206" i="1"/>
  <c r="I206" i="1"/>
  <c r="G206" i="1"/>
  <c r="F206" i="1"/>
  <c r="E206" i="1"/>
  <c r="D206" i="1"/>
  <c r="C206" i="1"/>
  <c r="P205" i="1"/>
  <c r="N205" i="1"/>
  <c r="M205" i="1"/>
  <c r="L205" i="1"/>
  <c r="K205" i="1"/>
  <c r="J205" i="1"/>
  <c r="I205" i="1"/>
  <c r="G205" i="1"/>
  <c r="F205" i="1"/>
  <c r="E205" i="1"/>
  <c r="D205" i="1"/>
  <c r="C205" i="1"/>
  <c r="P204" i="1"/>
  <c r="N204" i="1"/>
  <c r="M204" i="1"/>
  <c r="L204" i="1"/>
  <c r="K204" i="1"/>
  <c r="J204" i="1"/>
  <c r="I204" i="1"/>
  <c r="G204" i="1"/>
  <c r="F204" i="1"/>
  <c r="E204" i="1"/>
  <c r="D204" i="1"/>
  <c r="C204" i="1"/>
  <c r="P203" i="1"/>
  <c r="N203" i="1"/>
  <c r="M203" i="1"/>
  <c r="L203" i="1"/>
  <c r="K203" i="1"/>
  <c r="J203" i="1"/>
  <c r="I203" i="1"/>
  <c r="G203" i="1"/>
  <c r="F203" i="1"/>
  <c r="E203" i="1"/>
  <c r="D203" i="1"/>
  <c r="C203" i="1"/>
  <c r="P202" i="1"/>
  <c r="N202" i="1"/>
  <c r="M202" i="1"/>
  <c r="L202" i="1"/>
  <c r="K202" i="1"/>
  <c r="J202" i="1"/>
  <c r="I202" i="1"/>
  <c r="G202" i="1"/>
  <c r="F202" i="1"/>
  <c r="E202" i="1"/>
  <c r="D202" i="1"/>
  <c r="C202" i="1"/>
  <c r="P201" i="1"/>
  <c r="N201" i="1"/>
  <c r="M201" i="1"/>
  <c r="L201" i="1"/>
  <c r="K201" i="1"/>
  <c r="J201" i="1"/>
  <c r="I201" i="1"/>
  <c r="G201" i="1"/>
  <c r="F201" i="1"/>
  <c r="E201" i="1"/>
  <c r="D201" i="1"/>
  <c r="C201" i="1"/>
  <c r="P200" i="1"/>
  <c r="N200" i="1"/>
  <c r="M200" i="1"/>
  <c r="L200" i="1"/>
  <c r="K200" i="1"/>
  <c r="J200" i="1"/>
  <c r="I200" i="1"/>
  <c r="G200" i="1"/>
  <c r="F200" i="1"/>
  <c r="E200" i="1"/>
  <c r="D200" i="1"/>
  <c r="C200" i="1"/>
  <c r="P199" i="1"/>
  <c r="N199" i="1"/>
  <c r="M199" i="1"/>
  <c r="L199" i="1"/>
  <c r="K199" i="1"/>
  <c r="J199" i="1"/>
  <c r="I199" i="1"/>
  <c r="G199" i="1"/>
  <c r="F199" i="1"/>
  <c r="E199" i="1"/>
  <c r="D199" i="1"/>
  <c r="C199" i="1"/>
  <c r="P198" i="1"/>
  <c r="N198" i="1"/>
  <c r="M198" i="1"/>
  <c r="L198" i="1"/>
  <c r="K198" i="1"/>
  <c r="J198" i="1"/>
  <c r="I198" i="1"/>
  <c r="G198" i="1"/>
  <c r="F198" i="1"/>
  <c r="E198" i="1"/>
  <c r="D198" i="1"/>
  <c r="C198" i="1"/>
  <c r="P197" i="1"/>
  <c r="N197" i="1"/>
  <c r="M197" i="1"/>
  <c r="L197" i="1"/>
  <c r="K197" i="1"/>
  <c r="J197" i="1"/>
  <c r="I197" i="1"/>
  <c r="G197" i="1"/>
  <c r="F197" i="1"/>
  <c r="E197" i="1"/>
  <c r="D197" i="1"/>
  <c r="C197" i="1"/>
  <c r="P196" i="1"/>
  <c r="N196" i="1"/>
  <c r="M196" i="1"/>
  <c r="L196" i="1"/>
  <c r="K196" i="1"/>
  <c r="J196" i="1"/>
  <c r="I196" i="1"/>
  <c r="G196" i="1"/>
  <c r="F196" i="1"/>
  <c r="E196" i="1"/>
  <c r="D196" i="1"/>
  <c r="C196" i="1"/>
  <c r="P195" i="1"/>
  <c r="N195" i="1"/>
  <c r="M195" i="1"/>
  <c r="L195" i="1"/>
  <c r="K195" i="1"/>
  <c r="J195" i="1"/>
  <c r="I195" i="1"/>
  <c r="G195" i="1"/>
  <c r="F195" i="1"/>
  <c r="E195" i="1"/>
  <c r="D195" i="1"/>
  <c r="C195" i="1"/>
  <c r="P194" i="1"/>
  <c r="N194" i="1"/>
  <c r="M194" i="1"/>
  <c r="L194" i="1"/>
  <c r="K194" i="1"/>
  <c r="J194" i="1"/>
  <c r="I194" i="1"/>
  <c r="G194" i="1"/>
  <c r="F194" i="1"/>
  <c r="E194" i="1"/>
  <c r="D194" i="1"/>
  <c r="C194" i="1"/>
  <c r="P193" i="1"/>
  <c r="N193" i="1"/>
  <c r="M193" i="1"/>
  <c r="L193" i="1"/>
  <c r="K193" i="1"/>
  <c r="J193" i="1"/>
  <c r="I193" i="1"/>
  <c r="G193" i="1"/>
  <c r="F193" i="1"/>
  <c r="E193" i="1"/>
  <c r="D193" i="1"/>
  <c r="C193" i="1"/>
  <c r="P192" i="1"/>
  <c r="N192" i="1"/>
  <c r="M192" i="1"/>
  <c r="L192" i="1"/>
  <c r="K192" i="1"/>
  <c r="J192" i="1"/>
  <c r="I192" i="1"/>
  <c r="G192" i="1"/>
  <c r="F192" i="1"/>
  <c r="E192" i="1"/>
  <c r="D192" i="1"/>
  <c r="C192" i="1"/>
  <c r="P191" i="1"/>
  <c r="N191" i="1"/>
  <c r="M191" i="1"/>
  <c r="L191" i="1"/>
  <c r="K191" i="1"/>
  <c r="J191" i="1"/>
  <c r="I191" i="1"/>
  <c r="G191" i="1"/>
  <c r="F191" i="1"/>
  <c r="E191" i="1"/>
  <c r="D191" i="1"/>
  <c r="C191" i="1"/>
  <c r="P190" i="1"/>
  <c r="N190" i="1"/>
  <c r="M190" i="1"/>
  <c r="L190" i="1"/>
  <c r="K190" i="1"/>
  <c r="J190" i="1"/>
  <c r="I190" i="1"/>
  <c r="G190" i="1"/>
  <c r="F190" i="1"/>
  <c r="E190" i="1"/>
  <c r="D190" i="1"/>
  <c r="C190" i="1"/>
  <c r="P189" i="1"/>
  <c r="N189" i="1"/>
  <c r="M189" i="1"/>
  <c r="L189" i="1"/>
  <c r="K189" i="1"/>
  <c r="J189" i="1"/>
  <c r="I189" i="1"/>
  <c r="G189" i="1"/>
  <c r="F189" i="1"/>
  <c r="E189" i="1"/>
  <c r="D189" i="1"/>
  <c r="C189" i="1"/>
  <c r="P188" i="1"/>
  <c r="N188" i="1"/>
  <c r="M188" i="1"/>
  <c r="L188" i="1"/>
  <c r="K188" i="1"/>
  <c r="J188" i="1"/>
  <c r="I188" i="1"/>
  <c r="G188" i="1"/>
  <c r="F188" i="1"/>
  <c r="E188" i="1"/>
  <c r="D188" i="1"/>
  <c r="C188" i="1"/>
  <c r="P187" i="1"/>
  <c r="N187" i="1"/>
  <c r="M187" i="1"/>
  <c r="L187" i="1"/>
  <c r="K187" i="1"/>
  <c r="J187" i="1"/>
  <c r="I187" i="1"/>
  <c r="G187" i="1"/>
  <c r="F187" i="1"/>
  <c r="E187" i="1"/>
  <c r="D187" i="1"/>
  <c r="C187" i="1"/>
  <c r="P186" i="1"/>
  <c r="N186" i="1"/>
  <c r="M186" i="1"/>
  <c r="L186" i="1"/>
  <c r="K186" i="1"/>
  <c r="J186" i="1"/>
  <c r="I186" i="1"/>
  <c r="G186" i="1"/>
  <c r="F186" i="1"/>
  <c r="E186" i="1"/>
  <c r="D186" i="1"/>
  <c r="C186" i="1"/>
  <c r="P185" i="1"/>
  <c r="N185" i="1"/>
  <c r="M185" i="1"/>
  <c r="L185" i="1"/>
  <c r="K185" i="1"/>
  <c r="J185" i="1"/>
  <c r="I185" i="1"/>
  <c r="G185" i="1"/>
  <c r="F185" i="1"/>
  <c r="E185" i="1"/>
  <c r="D185" i="1"/>
  <c r="C185" i="1"/>
  <c r="P184" i="1"/>
  <c r="N184" i="1"/>
  <c r="M184" i="1"/>
  <c r="L184" i="1"/>
  <c r="K184" i="1"/>
  <c r="J184" i="1"/>
  <c r="I184" i="1"/>
  <c r="G184" i="1"/>
  <c r="F184" i="1"/>
  <c r="E184" i="1"/>
  <c r="D184" i="1"/>
  <c r="C184" i="1"/>
  <c r="P183" i="1"/>
  <c r="N183" i="1"/>
  <c r="M183" i="1"/>
  <c r="L183" i="1"/>
  <c r="K183" i="1"/>
  <c r="J183" i="1"/>
  <c r="I183" i="1"/>
  <c r="G183" i="1"/>
  <c r="F183" i="1"/>
  <c r="E183" i="1"/>
  <c r="D183" i="1"/>
  <c r="C183" i="1"/>
  <c r="P182" i="1"/>
  <c r="N182" i="1"/>
  <c r="M182" i="1"/>
  <c r="L182" i="1"/>
  <c r="K182" i="1"/>
  <c r="J182" i="1"/>
  <c r="I182" i="1"/>
  <c r="G182" i="1"/>
  <c r="F182" i="1"/>
  <c r="E182" i="1"/>
  <c r="D182" i="1"/>
  <c r="C182" i="1"/>
  <c r="P181" i="1"/>
  <c r="N181" i="1"/>
  <c r="M181" i="1"/>
  <c r="L181" i="1"/>
  <c r="K181" i="1"/>
  <c r="J181" i="1"/>
  <c r="I181" i="1"/>
  <c r="G181" i="1"/>
  <c r="F181" i="1"/>
  <c r="E181" i="1"/>
  <c r="D181" i="1"/>
  <c r="C181" i="1"/>
  <c r="P180" i="1"/>
  <c r="N180" i="1"/>
  <c r="M180" i="1"/>
  <c r="L180" i="1"/>
  <c r="K180" i="1"/>
  <c r="J180" i="1"/>
  <c r="I180" i="1"/>
  <c r="G180" i="1"/>
  <c r="F180" i="1"/>
  <c r="E180" i="1"/>
  <c r="D180" i="1"/>
  <c r="C180" i="1"/>
  <c r="P179" i="1"/>
  <c r="N179" i="1"/>
  <c r="M179" i="1"/>
  <c r="L179" i="1"/>
  <c r="K179" i="1"/>
  <c r="J179" i="1"/>
  <c r="I179" i="1"/>
  <c r="G179" i="1"/>
  <c r="F179" i="1"/>
  <c r="E179" i="1"/>
  <c r="D179" i="1"/>
  <c r="C179" i="1"/>
  <c r="P178" i="1"/>
  <c r="N178" i="1"/>
  <c r="M178" i="1"/>
  <c r="L178" i="1"/>
  <c r="K178" i="1"/>
  <c r="J178" i="1"/>
  <c r="I178" i="1"/>
  <c r="G178" i="1"/>
  <c r="F178" i="1"/>
  <c r="E178" i="1"/>
  <c r="D178" i="1"/>
  <c r="C178" i="1"/>
  <c r="P177" i="1"/>
  <c r="N177" i="1"/>
  <c r="M177" i="1"/>
  <c r="L177" i="1"/>
  <c r="K177" i="1"/>
  <c r="J177" i="1"/>
  <c r="I177" i="1"/>
  <c r="G177" i="1"/>
  <c r="F177" i="1"/>
  <c r="E177" i="1"/>
  <c r="D177" i="1"/>
  <c r="C177" i="1"/>
  <c r="P176" i="1"/>
  <c r="N176" i="1"/>
  <c r="M176" i="1"/>
  <c r="L176" i="1"/>
  <c r="K176" i="1"/>
  <c r="J176" i="1"/>
  <c r="I176" i="1"/>
  <c r="G176" i="1"/>
  <c r="F176" i="1"/>
  <c r="E176" i="1"/>
  <c r="D176" i="1"/>
  <c r="C176" i="1"/>
  <c r="P175" i="1"/>
  <c r="N175" i="1"/>
  <c r="M175" i="1"/>
  <c r="L175" i="1"/>
  <c r="K175" i="1"/>
  <c r="J175" i="1"/>
  <c r="I175" i="1"/>
  <c r="G175" i="1"/>
  <c r="F175" i="1"/>
  <c r="E175" i="1"/>
  <c r="D175" i="1"/>
  <c r="C175" i="1"/>
  <c r="P174" i="1"/>
  <c r="N174" i="1"/>
  <c r="M174" i="1"/>
  <c r="L174" i="1"/>
  <c r="K174" i="1"/>
  <c r="J174" i="1"/>
  <c r="I174" i="1"/>
  <c r="G174" i="1"/>
  <c r="F174" i="1"/>
  <c r="E174" i="1"/>
  <c r="D174" i="1"/>
  <c r="C174" i="1"/>
  <c r="P173" i="1"/>
  <c r="N173" i="1"/>
  <c r="M173" i="1"/>
  <c r="L173" i="1"/>
  <c r="K173" i="1"/>
  <c r="J173" i="1"/>
  <c r="I173" i="1"/>
  <c r="G173" i="1"/>
  <c r="F173" i="1"/>
  <c r="E173" i="1"/>
  <c r="D173" i="1"/>
  <c r="C173" i="1"/>
  <c r="P172" i="1"/>
  <c r="N172" i="1"/>
  <c r="M172" i="1"/>
  <c r="L172" i="1"/>
  <c r="K172" i="1"/>
  <c r="J172" i="1"/>
  <c r="I172" i="1"/>
  <c r="G172" i="1"/>
  <c r="F172" i="1"/>
  <c r="E172" i="1"/>
  <c r="D172" i="1"/>
  <c r="C172" i="1"/>
  <c r="P171" i="1"/>
  <c r="N171" i="1"/>
  <c r="M171" i="1"/>
  <c r="L171" i="1"/>
  <c r="K171" i="1"/>
  <c r="J171" i="1"/>
  <c r="I171" i="1"/>
  <c r="G171" i="1"/>
  <c r="F171" i="1"/>
  <c r="E171" i="1"/>
  <c r="D171" i="1"/>
  <c r="C171" i="1"/>
  <c r="P170" i="1"/>
  <c r="N170" i="1"/>
  <c r="M170" i="1"/>
  <c r="L170" i="1"/>
  <c r="K170" i="1"/>
  <c r="J170" i="1"/>
  <c r="I170" i="1"/>
  <c r="G170" i="1"/>
  <c r="F170" i="1"/>
  <c r="E170" i="1"/>
  <c r="D170" i="1"/>
  <c r="C170" i="1"/>
  <c r="P169" i="1"/>
  <c r="N169" i="1"/>
  <c r="M169" i="1"/>
  <c r="L169" i="1"/>
  <c r="K169" i="1"/>
  <c r="J169" i="1"/>
  <c r="I169" i="1"/>
  <c r="G169" i="1"/>
  <c r="F169" i="1"/>
  <c r="E169" i="1"/>
  <c r="D169" i="1"/>
  <c r="C169" i="1"/>
  <c r="P168" i="1"/>
  <c r="N168" i="1"/>
  <c r="M168" i="1"/>
  <c r="L168" i="1"/>
  <c r="K168" i="1"/>
  <c r="J168" i="1"/>
  <c r="I168" i="1"/>
  <c r="G168" i="1"/>
  <c r="F168" i="1"/>
  <c r="E168" i="1"/>
  <c r="D168" i="1"/>
  <c r="C168" i="1"/>
  <c r="P167" i="1"/>
  <c r="N167" i="1"/>
  <c r="M167" i="1"/>
  <c r="L167" i="1"/>
  <c r="K167" i="1"/>
  <c r="J167" i="1"/>
  <c r="I167" i="1"/>
  <c r="G167" i="1"/>
  <c r="F167" i="1"/>
  <c r="E167" i="1"/>
  <c r="D167" i="1"/>
  <c r="C167" i="1"/>
  <c r="P166" i="1"/>
  <c r="N166" i="1"/>
  <c r="M166" i="1"/>
  <c r="L166" i="1"/>
  <c r="K166" i="1"/>
  <c r="J166" i="1"/>
  <c r="I166" i="1"/>
  <c r="G166" i="1"/>
  <c r="F166" i="1"/>
  <c r="E166" i="1"/>
  <c r="D166" i="1"/>
  <c r="C166" i="1"/>
  <c r="P165" i="1"/>
  <c r="N165" i="1"/>
  <c r="M165" i="1"/>
  <c r="L165" i="1"/>
  <c r="K165" i="1"/>
  <c r="J165" i="1"/>
  <c r="I165" i="1"/>
  <c r="G165" i="1"/>
  <c r="F165" i="1"/>
  <c r="E165" i="1"/>
  <c r="D165" i="1"/>
  <c r="C165" i="1"/>
  <c r="P164" i="1"/>
  <c r="N164" i="1"/>
  <c r="M164" i="1"/>
  <c r="L164" i="1"/>
  <c r="K164" i="1"/>
  <c r="J164" i="1"/>
  <c r="I164" i="1"/>
  <c r="G164" i="1"/>
  <c r="F164" i="1"/>
  <c r="E164" i="1"/>
  <c r="D164" i="1"/>
  <c r="C164" i="1"/>
  <c r="P163" i="1"/>
  <c r="N163" i="1"/>
  <c r="M163" i="1"/>
  <c r="L163" i="1"/>
  <c r="K163" i="1"/>
  <c r="J163" i="1"/>
  <c r="I163" i="1"/>
  <c r="G163" i="1"/>
  <c r="F163" i="1"/>
  <c r="E163" i="1"/>
  <c r="D163" i="1"/>
  <c r="C163" i="1"/>
  <c r="P162" i="1"/>
  <c r="N162" i="1"/>
  <c r="M162" i="1"/>
  <c r="L162" i="1"/>
  <c r="K162" i="1"/>
  <c r="J162" i="1"/>
  <c r="I162" i="1"/>
  <c r="G162" i="1"/>
  <c r="F162" i="1"/>
  <c r="E162" i="1"/>
  <c r="D162" i="1"/>
  <c r="C162" i="1"/>
  <c r="P161" i="1"/>
  <c r="N161" i="1"/>
  <c r="M161" i="1"/>
  <c r="L161" i="1"/>
  <c r="K161" i="1"/>
  <c r="J161" i="1"/>
  <c r="I161" i="1"/>
  <c r="G161" i="1"/>
  <c r="F161" i="1"/>
  <c r="E161" i="1"/>
  <c r="D161" i="1"/>
  <c r="C161" i="1"/>
  <c r="P160" i="1"/>
  <c r="N160" i="1"/>
  <c r="M160" i="1"/>
  <c r="L160" i="1"/>
  <c r="K160" i="1"/>
  <c r="J160" i="1"/>
  <c r="I160" i="1"/>
  <c r="G160" i="1"/>
  <c r="F160" i="1"/>
  <c r="E160" i="1"/>
  <c r="D160" i="1"/>
  <c r="C160" i="1"/>
  <c r="P159" i="1"/>
  <c r="N159" i="1"/>
  <c r="M159" i="1"/>
  <c r="L159" i="1"/>
  <c r="K159" i="1"/>
  <c r="J159" i="1"/>
  <c r="I159" i="1"/>
  <c r="G159" i="1"/>
  <c r="F159" i="1"/>
  <c r="E159" i="1"/>
  <c r="D159" i="1"/>
  <c r="C159" i="1"/>
  <c r="P158" i="1"/>
  <c r="N158" i="1"/>
  <c r="M158" i="1"/>
  <c r="L158" i="1"/>
  <c r="K158" i="1"/>
  <c r="J158" i="1"/>
  <c r="I158" i="1"/>
  <c r="G158" i="1"/>
  <c r="F158" i="1"/>
  <c r="E158" i="1"/>
  <c r="D158" i="1"/>
  <c r="C158" i="1"/>
  <c r="P157" i="1"/>
  <c r="N157" i="1"/>
  <c r="M157" i="1"/>
  <c r="L157" i="1"/>
  <c r="K157" i="1"/>
  <c r="J157" i="1"/>
  <c r="I157" i="1"/>
  <c r="G157" i="1"/>
  <c r="F157" i="1"/>
  <c r="E157" i="1"/>
  <c r="D157" i="1"/>
  <c r="C157" i="1"/>
  <c r="P156" i="1"/>
  <c r="N156" i="1"/>
  <c r="M156" i="1"/>
  <c r="L156" i="1"/>
  <c r="K156" i="1"/>
  <c r="J156" i="1"/>
  <c r="I156" i="1"/>
  <c r="G156" i="1"/>
  <c r="F156" i="1"/>
  <c r="E156" i="1"/>
  <c r="D156" i="1"/>
  <c r="C156" i="1"/>
  <c r="P155" i="1"/>
  <c r="N155" i="1"/>
  <c r="M155" i="1"/>
  <c r="L155" i="1"/>
  <c r="K155" i="1"/>
  <c r="J155" i="1"/>
  <c r="I155" i="1"/>
  <c r="G155" i="1"/>
  <c r="F155" i="1"/>
  <c r="E155" i="1"/>
  <c r="D155" i="1"/>
  <c r="C155" i="1"/>
  <c r="P154" i="1"/>
  <c r="N154" i="1"/>
  <c r="M154" i="1"/>
  <c r="L154" i="1"/>
  <c r="K154" i="1"/>
  <c r="J154" i="1"/>
  <c r="I154" i="1"/>
  <c r="G154" i="1"/>
  <c r="F154" i="1"/>
  <c r="E154" i="1"/>
  <c r="D154" i="1"/>
  <c r="C154" i="1"/>
  <c r="P153" i="1"/>
  <c r="N153" i="1"/>
  <c r="M153" i="1"/>
  <c r="L153" i="1"/>
  <c r="K153" i="1"/>
  <c r="J153" i="1"/>
  <c r="I153" i="1"/>
  <c r="G153" i="1"/>
  <c r="F153" i="1"/>
  <c r="E153" i="1"/>
  <c r="D153" i="1"/>
  <c r="C153" i="1"/>
  <c r="P152" i="1"/>
  <c r="N152" i="1"/>
  <c r="M152" i="1"/>
  <c r="L152" i="1"/>
  <c r="K152" i="1"/>
  <c r="J152" i="1"/>
  <c r="I152" i="1"/>
  <c r="G152" i="1"/>
  <c r="F152" i="1"/>
  <c r="E152" i="1"/>
  <c r="D152" i="1"/>
  <c r="C152" i="1"/>
  <c r="P151" i="1"/>
  <c r="N151" i="1"/>
  <c r="M151" i="1"/>
  <c r="L151" i="1"/>
  <c r="K151" i="1"/>
  <c r="J151" i="1"/>
  <c r="I151" i="1"/>
  <c r="G151" i="1"/>
  <c r="F151" i="1"/>
  <c r="E151" i="1"/>
  <c r="D151" i="1"/>
  <c r="C151" i="1"/>
  <c r="P150" i="1"/>
  <c r="N150" i="1"/>
  <c r="M150" i="1"/>
  <c r="L150" i="1"/>
  <c r="K150" i="1"/>
  <c r="J150" i="1"/>
  <c r="I150" i="1"/>
  <c r="G150" i="1"/>
  <c r="F150" i="1"/>
  <c r="E150" i="1"/>
  <c r="D150" i="1"/>
  <c r="C150" i="1"/>
  <c r="P149" i="1"/>
  <c r="N149" i="1"/>
  <c r="M149" i="1"/>
  <c r="L149" i="1"/>
  <c r="K149" i="1"/>
  <c r="J149" i="1"/>
  <c r="I149" i="1"/>
  <c r="G149" i="1"/>
  <c r="F149" i="1"/>
  <c r="E149" i="1"/>
  <c r="D149" i="1"/>
  <c r="C149" i="1"/>
  <c r="P148" i="1"/>
  <c r="N148" i="1"/>
  <c r="M148" i="1"/>
  <c r="L148" i="1"/>
  <c r="K148" i="1"/>
  <c r="J148" i="1"/>
  <c r="I148" i="1"/>
  <c r="G148" i="1"/>
  <c r="F148" i="1"/>
  <c r="E148" i="1"/>
  <c r="D148" i="1"/>
  <c r="C148" i="1"/>
  <c r="P147" i="1"/>
  <c r="N147" i="1"/>
  <c r="M147" i="1"/>
  <c r="L147" i="1"/>
  <c r="K147" i="1"/>
  <c r="J147" i="1"/>
  <c r="I147" i="1"/>
  <c r="G147" i="1"/>
  <c r="F147" i="1"/>
  <c r="E147" i="1"/>
  <c r="D147" i="1"/>
  <c r="C147" i="1"/>
  <c r="P146" i="1"/>
  <c r="N146" i="1"/>
  <c r="M146" i="1"/>
  <c r="L146" i="1"/>
  <c r="K146" i="1"/>
  <c r="J146" i="1"/>
  <c r="I146" i="1"/>
  <c r="G146" i="1"/>
  <c r="F146" i="1"/>
  <c r="E146" i="1"/>
  <c r="D146" i="1"/>
  <c r="C146" i="1"/>
  <c r="P145" i="1"/>
  <c r="N145" i="1"/>
  <c r="M145" i="1"/>
  <c r="L145" i="1"/>
  <c r="K145" i="1"/>
  <c r="J145" i="1"/>
  <c r="I145" i="1"/>
  <c r="G145" i="1"/>
  <c r="F145" i="1"/>
  <c r="E145" i="1"/>
  <c r="D145" i="1"/>
  <c r="C145" i="1"/>
  <c r="P144" i="1"/>
  <c r="N144" i="1"/>
  <c r="M144" i="1"/>
  <c r="L144" i="1"/>
  <c r="K144" i="1"/>
  <c r="J144" i="1"/>
  <c r="I144" i="1"/>
  <c r="G144" i="1"/>
  <c r="F144" i="1"/>
  <c r="E144" i="1"/>
  <c r="D144" i="1"/>
  <c r="C144" i="1"/>
  <c r="P143" i="1"/>
  <c r="N143" i="1"/>
  <c r="M143" i="1"/>
  <c r="L143" i="1"/>
  <c r="K143" i="1"/>
  <c r="J143" i="1"/>
  <c r="I143" i="1"/>
  <c r="G143" i="1"/>
  <c r="F143" i="1"/>
  <c r="E143" i="1"/>
  <c r="D143" i="1"/>
  <c r="C143" i="1"/>
  <c r="P142" i="1"/>
  <c r="N142" i="1"/>
  <c r="M142" i="1"/>
  <c r="L142" i="1"/>
  <c r="K142" i="1"/>
  <c r="J142" i="1"/>
  <c r="I142" i="1"/>
  <c r="G142" i="1"/>
  <c r="F142" i="1"/>
  <c r="E142" i="1"/>
  <c r="D142" i="1"/>
  <c r="C142" i="1"/>
  <c r="P141" i="1"/>
  <c r="N141" i="1"/>
  <c r="M141" i="1"/>
  <c r="L141" i="1"/>
  <c r="K141" i="1"/>
  <c r="J141" i="1"/>
  <c r="I141" i="1"/>
  <c r="G141" i="1"/>
  <c r="F141" i="1"/>
  <c r="E141" i="1"/>
  <c r="D141" i="1"/>
  <c r="C141" i="1"/>
  <c r="P140" i="1"/>
  <c r="N140" i="1"/>
  <c r="M140" i="1"/>
  <c r="L140" i="1"/>
  <c r="K140" i="1"/>
  <c r="J140" i="1"/>
  <c r="I140" i="1"/>
  <c r="G140" i="1"/>
  <c r="F140" i="1"/>
  <c r="E140" i="1"/>
  <c r="D140" i="1"/>
  <c r="C140" i="1"/>
  <c r="P139" i="1"/>
  <c r="N139" i="1"/>
  <c r="M139" i="1"/>
  <c r="L139" i="1"/>
  <c r="K139" i="1"/>
  <c r="J139" i="1"/>
  <c r="I139" i="1"/>
  <c r="G139" i="1"/>
  <c r="F139" i="1"/>
  <c r="E139" i="1"/>
  <c r="D139" i="1"/>
  <c r="C139" i="1"/>
  <c r="P138" i="1"/>
  <c r="N138" i="1"/>
  <c r="M138" i="1"/>
  <c r="L138" i="1"/>
  <c r="K138" i="1"/>
  <c r="J138" i="1"/>
  <c r="I138" i="1"/>
  <c r="G138" i="1"/>
  <c r="F138" i="1"/>
  <c r="E138" i="1"/>
  <c r="D138" i="1"/>
  <c r="C138" i="1"/>
  <c r="P137" i="1"/>
  <c r="N137" i="1"/>
  <c r="M137" i="1"/>
  <c r="L137" i="1"/>
  <c r="K137" i="1"/>
  <c r="J137" i="1"/>
  <c r="I137" i="1"/>
  <c r="G137" i="1"/>
  <c r="F137" i="1"/>
  <c r="E137" i="1"/>
  <c r="D137" i="1"/>
  <c r="C137" i="1"/>
  <c r="P136" i="1"/>
  <c r="N136" i="1"/>
  <c r="M136" i="1"/>
  <c r="L136" i="1"/>
  <c r="K136" i="1"/>
  <c r="J136" i="1"/>
  <c r="I136" i="1"/>
  <c r="G136" i="1"/>
  <c r="F136" i="1"/>
  <c r="E136" i="1"/>
  <c r="D136" i="1"/>
  <c r="C136" i="1"/>
  <c r="P135" i="1"/>
  <c r="N135" i="1"/>
  <c r="M135" i="1"/>
  <c r="L135" i="1"/>
  <c r="K135" i="1"/>
  <c r="J135" i="1"/>
  <c r="I135" i="1"/>
  <c r="G135" i="1"/>
  <c r="F135" i="1"/>
  <c r="E135" i="1"/>
  <c r="D135" i="1"/>
  <c r="C135" i="1"/>
  <c r="P134" i="1"/>
  <c r="N134" i="1"/>
  <c r="M134" i="1"/>
  <c r="L134" i="1"/>
  <c r="K134" i="1"/>
  <c r="J134" i="1"/>
  <c r="I134" i="1"/>
  <c r="G134" i="1"/>
  <c r="F134" i="1"/>
  <c r="E134" i="1"/>
  <c r="D134" i="1"/>
  <c r="C134" i="1"/>
  <c r="P133" i="1"/>
  <c r="N133" i="1"/>
  <c r="M133" i="1"/>
  <c r="L133" i="1"/>
  <c r="K133" i="1"/>
  <c r="J133" i="1"/>
  <c r="I133" i="1"/>
  <c r="G133" i="1"/>
  <c r="F133" i="1"/>
  <c r="E133" i="1"/>
  <c r="D133" i="1"/>
  <c r="C133" i="1"/>
  <c r="P132" i="1"/>
  <c r="N132" i="1"/>
  <c r="M132" i="1"/>
  <c r="L132" i="1"/>
  <c r="K132" i="1"/>
  <c r="J132" i="1"/>
  <c r="I132" i="1"/>
  <c r="G132" i="1"/>
  <c r="F132" i="1"/>
  <c r="E132" i="1"/>
  <c r="D132" i="1"/>
  <c r="C132" i="1"/>
  <c r="P131" i="1"/>
  <c r="N131" i="1"/>
  <c r="M131" i="1"/>
  <c r="L131" i="1"/>
  <c r="K131" i="1"/>
  <c r="J131" i="1"/>
  <c r="I131" i="1"/>
  <c r="G131" i="1"/>
  <c r="F131" i="1"/>
  <c r="E131" i="1"/>
  <c r="D131" i="1"/>
  <c r="C131" i="1"/>
  <c r="P130" i="1"/>
  <c r="N130" i="1"/>
  <c r="M130" i="1"/>
  <c r="L130" i="1"/>
  <c r="K130" i="1"/>
  <c r="J130" i="1"/>
  <c r="I130" i="1"/>
  <c r="G130" i="1"/>
  <c r="F130" i="1"/>
  <c r="E130" i="1"/>
  <c r="D130" i="1"/>
  <c r="C130" i="1"/>
  <c r="P129" i="1"/>
  <c r="N129" i="1"/>
  <c r="M129" i="1"/>
  <c r="L129" i="1"/>
  <c r="K129" i="1"/>
  <c r="J129" i="1"/>
  <c r="I129" i="1"/>
  <c r="G129" i="1"/>
  <c r="F129" i="1"/>
  <c r="E129" i="1"/>
  <c r="D129" i="1"/>
  <c r="C129" i="1"/>
  <c r="P128" i="1"/>
  <c r="N128" i="1"/>
  <c r="M128" i="1"/>
  <c r="L128" i="1"/>
  <c r="K128" i="1"/>
  <c r="J128" i="1"/>
  <c r="I128" i="1"/>
  <c r="G128" i="1"/>
  <c r="F128" i="1"/>
  <c r="E128" i="1"/>
  <c r="D128" i="1"/>
  <c r="C128" i="1"/>
  <c r="P127" i="1"/>
  <c r="N127" i="1"/>
  <c r="M127" i="1"/>
  <c r="L127" i="1"/>
  <c r="K127" i="1"/>
  <c r="J127" i="1"/>
  <c r="I127" i="1"/>
  <c r="G127" i="1"/>
  <c r="F127" i="1"/>
  <c r="E127" i="1"/>
  <c r="D127" i="1"/>
  <c r="C127" i="1"/>
  <c r="P126" i="1"/>
  <c r="N126" i="1"/>
  <c r="M126" i="1"/>
  <c r="L126" i="1"/>
  <c r="K126" i="1"/>
  <c r="J126" i="1"/>
  <c r="I126" i="1"/>
  <c r="G126" i="1"/>
  <c r="F126" i="1"/>
  <c r="E126" i="1"/>
  <c r="D126" i="1"/>
  <c r="C126" i="1"/>
  <c r="P125" i="1"/>
  <c r="N125" i="1"/>
  <c r="M125" i="1"/>
  <c r="L125" i="1"/>
  <c r="K125" i="1"/>
  <c r="J125" i="1"/>
  <c r="I125" i="1"/>
  <c r="G125" i="1"/>
  <c r="F125" i="1"/>
  <c r="E125" i="1"/>
  <c r="D125" i="1"/>
  <c r="C125" i="1"/>
  <c r="P124" i="1"/>
  <c r="N124" i="1"/>
  <c r="M124" i="1"/>
  <c r="L124" i="1"/>
  <c r="K124" i="1"/>
  <c r="J124" i="1"/>
  <c r="I124" i="1"/>
  <c r="G124" i="1"/>
  <c r="F124" i="1"/>
  <c r="E124" i="1"/>
  <c r="D124" i="1"/>
  <c r="C124" i="1"/>
  <c r="P123" i="1"/>
  <c r="N123" i="1"/>
  <c r="M123" i="1"/>
  <c r="L123" i="1"/>
  <c r="K123" i="1"/>
  <c r="J123" i="1"/>
  <c r="I123" i="1"/>
  <c r="G123" i="1"/>
  <c r="F123" i="1"/>
  <c r="E123" i="1"/>
  <c r="D123" i="1"/>
  <c r="C123" i="1"/>
  <c r="P122" i="1"/>
  <c r="N122" i="1"/>
  <c r="M122" i="1"/>
  <c r="L122" i="1"/>
  <c r="K122" i="1"/>
  <c r="J122" i="1"/>
  <c r="I122" i="1"/>
  <c r="G122" i="1"/>
  <c r="F122" i="1"/>
  <c r="E122" i="1"/>
  <c r="D122" i="1"/>
  <c r="C122" i="1"/>
  <c r="P121" i="1"/>
  <c r="N121" i="1"/>
  <c r="M121" i="1"/>
  <c r="L121" i="1"/>
  <c r="K121" i="1"/>
  <c r="J121" i="1"/>
  <c r="I121" i="1"/>
  <c r="G121" i="1"/>
  <c r="F121" i="1"/>
  <c r="E121" i="1"/>
  <c r="D121" i="1"/>
  <c r="C121" i="1"/>
  <c r="P120" i="1"/>
  <c r="N120" i="1"/>
  <c r="M120" i="1"/>
  <c r="L120" i="1"/>
  <c r="K120" i="1"/>
  <c r="J120" i="1"/>
  <c r="I120" i="1"/>
  <c r="G120" i="1"/>
  <c r="F120" i="1"/>
  <c r="E120" i="1"/>
  <c r="D120" i="1"/>
  <c r="C120" i="1"/>
  <c r="P119" i="1"/>
  <c r="N119" i="1"/>
  <c r="M119" i="1"/>
  <c r="L119" i="1"/>
  <c r="K119" i="1"/>
  <c r="J119" i="1"/>
  <c r="I119" i="1"/>
  <c r="G119" i="1"/>
  <c r="F119" i="1"/>
  <c r="E119" i="1"/>
  <c r="D119" i="1"/>
  <c r="C119" i="1"/>
  <c r="P118" i="1"/>
  <c r="N118" i="1"/>
  <c r="M118" i="1"/>
  <c r="L118" i="1"/>
  <c r="K118" i="1"/>
  <c r="J118" i="1"/>
  <c r="I118" i="1"/>
  <c r="G118" i="1"/>
  <c r="F118" i="1"/>
  <c r="E118" i="1"/>
  <c r="D118" i="1"/>
  <c r="C118" i="1"/>
  <c r="P117" i="1"/>
  <c r="N117" i="1"/>
  <c r="M117" i="1"/>
  <c r="L117" i="1"/>
  <c r="K117" i="1"/>
  <c r="J117" i="1"/>
  <c r="I117" i="1"/>
  <c r="G117" i="1"/>
  <c r="F117" i="1"/>
  <c r="E117" i="1"/>
  <c r="D117" i="1"/>
  <c r="C117" i="1"/>
  <c r="P116" i="1"/>
  <c r="N116" i="1"/>
  <c r="M116" i="1"/>
  <c r="L116" i="1"/>
  <c r="K116" i="1"/>
  <c r="J116" i="1"/>
  <c r="I116" i="1"/>
  <c r="G116" i="1"/>
  <c r="F116" i="1"/>
  <c r="E116" i="1"/>
  <c r="D116" i="1"/>
  <c r="C116" i="1"/>
  <c r="P115" i="1"/>
  <c r="N115" i="1"/>
  <c r="M115" i="1"/>
  <c r="L115" i="1"/>
  <c r="K115" i="1"/>
  <c r="J115" i="1"/>
  <c r="I115" i="1"/>
  <c r="G115" i="1"/>
  <c r="F115" i="1"/>
  <c r="E115" i="1"/>
  <c r="D115" i="1"/>
  <c r="C115" i="1"/>
  <c r="P114" i="1"/>
  <c r="N114" i="1"/>
  <c r="M114" i="1"/>
  <c r="L114" i="1"/>
  <c r="K114" i="1"/>
  <c r="J114" i="1"/>
  <c r="I114" i="1"/>
  <c r="G114" i="1"/>
  <c r="F114" i="1"/>
  <c r="E114" i="1"/>
  <c r="D114" i="1"/>
  <c r="C114" i="1"/>
  <c r="P113" i="1"/>
  <c r="N113" i="1"/>
  <c r="M113" i="1"/>
  <c r="L113" i="1"/>
  <c r="K113" i="1"/>
  <c r="J113" i="1"/>
  <c r="I113" i="1"/>
  <c r="G113" i="1"/>
  <c r="F113" i="1"/>
  <c r="E113" i="1"/>
  <c r="D113" i="1"/>
  <c r="C113" i="1"/>
  <c r="P112" i="1"/>
  <c r="N112" i="1"/>
  <c r="M112" i="1"/>
  <c r="L112" i="1"/>
  <c r="K112" i="1"/>
  <c r="J112" i="1"/>
  <c r="I112" i="1"/>
  <c r="G112" i="1"/>
  <c r="F112" i="1"/>
  <c r="E112" i="1"/>
  <c r="D112" i="1"/>
  <c r="C112" i="1"/>
  <c r="P111" i="1"/>
  <c r="N111" i="1"/>
  <c r="M111" i="1"/>
  <c r="L111" i="1"/>
  <c r="K111" i="1"/>
  <c r="J111" i="1"/>
  <c r="I111" i="1"/>
  <c r="G111" i="1"/>
  <c r="F111" i="1"/>
  <c r="E111" i="1"/>
  <c r="D111" i="1"/>
  <c r="C111" i="1"/>
  <c r="P110" i="1"/>
  <c r="N110" i="1"/>
  <c r="M110" i="1"/>
  <c r="L110" i="1"/>
  <c r="K110" i="1"/>
  <c r="J110" i="1"/>
  <c r="I110" i="1"/>
  <c r="G110" i="1"/>
  <c r="F110" i="1"/>
  <c r="E110" i="1"/>
  <c r="D110" i="1"/>
  <c r="C110" i="1"/>
  <c r="P109" i="1"/>
  <c r="N109" i="1"/>
  <c r="M109" i="1"/>
  <c r="L109" i="1"/>
  <c r="K109" i="1"/>
  <c r="J109" i="1"/>
  <c r="I109" i="1"/>
  <c r="G109" i="1"/>
  <c r="F109" i="1"/>
  <c r="E109" i="1"/>
  <c r="D109" i="1"/>
  <c r="C109" i="1"/>
  <c r="P108" i="1"/>
  <c r="N108" i="1"/>
  <c r="M108" i="1"/>
  <c r="L108" i="1"/>
  <c r="K108" i="1"/>
  <c r="J108" i="1"/>
  <c r="I108" i="1"/>
  <c r="G108" i="1"/>
  <c r="F108" i="1"/>
  <c r="E108" i="1"/>
  <c r="D108" i="1"/>
  <c r="C108" i="1"/>
  <c r="P107" i="1"/>
  <c r="N107" i="1"/>
  <c r="M107" i="1"/>
  <c r="L107" i="1"/>
  <c r="K107" i="1"/>
  <c r="J107" i="1"/>
  <c r="I107" i="1"/>
  <c r="G107" i="1"/>
  <c r="F107" i="1"/>
  <c r="E107" i="1"/>
  <c r="D107" i="1"/>
  <c r="C107" i="1"/>
  <c r="P106" i="1"/>
  <c r="N106" i="1"/>
  <c r="M106" i="1"/>
  <c r="L106" i="1"/>
  <c r="K106" i="1"/>
  <c r="J106" i="1"/>
  <c r="I106" i="1"/>
  <c r="G106" i="1"/>
  <c r="F106" i="1"/>
  <c r="E106" i="1"/>
  <c r="D106" i="1"/>
  <c r="C106" i="1"/>
  <c r="P105" i="1"/>
  <c r="N105" i="1"/>
  <c r="M105" i="1"/>
  <c r="L105" i="1"/>
  <c r="K105" i="1"/>
  <c r="J105" i="1"/>
  <c r="I105" i="1"/>
  <c r="G105" i="1"/>
  <c r="F105" i="1"/>
  <c r="E105" i="1"/>
  <c r="D105" i="1"/>
  <c r="C105" i="1"/>
  <c r="P104" i="1"/>
  <c r="N104" i="1"/>
  <c r="M104" i="1"/>
  <c r="L104" i="1"/>
  <c r="K104" i="1"/>
  <c r="J104" i="1"/>
  <c r="I104" i="1"/>
  <c r="G104" i="1"/>
  <c r="F104" i="1"/>
  <c r="E104" i="1"/>
  <c r="D104" i="1"/>
  <c r="C104" i="1"/>
  <c r="P103" i="1"/>
  <c r="N103" i="1"/>
  <c r="M103" i="1"/>
  <c r="L103" i="1"/>
  <c r="K103" i="1"/>
  <c r="J103" i="1"/>
  <c r="I103" i="1"/>
  <c r="G103" i="1"/>
  <c r="F103" i="1"/>
  <c r="E103" i="1"/>
  <c r="D103" i="1"/>
  <c r="C103" i="1"/>
  <c r="P102" i="1"/>
  <c r="N102" i="1"/>
  <c r="M102" i="1"/>
  <c r="L102" i="1"/>
  <c r="K102" i="1"/>
  <c r="J102" i="1"/>
  <c r="I102" i="1"/>
  <c r="G102" i="1"/>
  <c r="F102" i="1"/>
  <c r="E102" i="1"/>
  <c r="D102" i="1"/>
  <c r="C102" i="1"/>
  <c r="P101" i="1"/>
  <c r="N101" i="1"/>
  <c r="M101" i="1"/>
  <c r="L101" i="1"/>
  <c r="K101" i="1"/>
  <c r="J101" i="1"/>
  <c r="I101" i="1"/>
  <c r="G101" i="1"/>
  <c r="F101" i="1"/>
  <c r="E101" i="1"/>
  <c r="D101" i="1"/>
  <c r="C101" i="1"/>
  <c r="P100" i="1"/>
  <c r="N100" i="1"/>
  <c r="M100" i="1"/>
  <c r="L100" i="1"/>
  <c r="K100" i="1"/>
  <c r="J100" i="1"/>
  <c r="I100" i="1"/>
  <c r="G100" i="1"/>
  <c r="F100" i="1"/>
  <c r="E100" i="1"/>
  <c r="D100" i="1"/>
  <c r="C100" i="1"/>
  <c r="P99" i="1"/>
  <c r="N99" i="1"/>
  <c r="M99" i="1"/>
  <c r="L99" i="1"/>
  <c r="K99" i="1"/>
  <c r="J99" i="1"/>
  <c r="I99" i="1"/>
  <c r="G99" i="1"/>
  <c r="F99" i="1"/>
  <c r="E99" i="1"/>
  <c r="D99" i="1"/>
  <c r="C99" i="1"/>
  <c r="P98" i="1"/>
  <c r="N98" i="1"/>
  <c r="M98" i="1"/>
  <c r="L98" i="1"/>
  <c r="K98" i="1"/>
  <c r="J98" i="1"/>
  <c r="I98" i="1"/>
  <c r="G98" i="1"/>
  <c r="F98" i="1"/>
  <c r="E98" i="1"/>
  <c r="D98" i="1"/>
  <c r="C98" i="1"/>
  <c r="P97" i="1"/>
  <c r="N97" i="1"/>
  <c r="M97" i="1"/>
  <c r="L97" i="1"/>
  <c r="K97" i="1"/>
  <c r="J97" i="1"/>
  <c r="I97" i="1"/>
  <c r="G97" i="1"/>
  <c r="F97" i="1"/>
  <c r="E97" i="1"/>
  <c r="D97" i="1"/>
  <c r="C97" i="1"/>
  <c r="P96" i="1"/>
  <c r="N96" i="1"/>
  <c r="M96" i="1"/>
  <c r="L96" i="1"/>
  <c r="K96" i="1"/>
  <c r="J96" i="1"/>
  <c r="I96" i="1"/>
  <c r="G96" i="1"/>
  <c r="F96" i="1"/>
  <c r="E96" i="1"/>
  <c r="D96" i="1"/>
  <c r="C96" i="1"/>
  <c r="P95" i="1"/>
  <c r="N95" i="1"/>
  <c r="M95" i="1"/>
  <c r="L95" i="1"/>
  <c r="K95" i="1"/>
  <c r="J95" i="1"/>
  <c r="I95" i="1"/>
  <c r="G95" i="1"/>
  <c r="F95" i="1"/>
  <c r="E95" i="1"/>
  <c r="D95" i="1"/>
  <c r="C95" i="1"/>
  <c r="P94" i="1"/>
  <c r="N94" i="1"/>
  <c r="M94" i="1"/>
  <c r="L94" i="1"/>
  <c r="K94" i="1"/>
  <c r="J94" i="1"/>
  <c r="I94" i="1"/>
  <c r="G94" i="1"/>
  <c r="F94" i="1"/>
  <c r="E94" i="1"/>
  <c r="D94" i="1"/>
  <c r="C94" i="1"/>
  <c r="P93" i="1"/>
  <c r="N93" i="1"/>
  <c r="M93" i="1"/>
  <c r="L93" i="1"/>
  <c r="K93" i="1"/>
  <c r="J93" i="1"/>
  <c r="I93" i="1"/>
  <c r="G93" i="1"/>
  <c r="F93" i="1"/>
  <c r="E93" i="1"/>
  <c r="D93" i="1"/>
  <c r="C93" i="1"/>
  <c r="P92" i="1"/>
  <c r="N92" i="1"/>
  <c r="M92" i="1"/>
  <c r="L92" i="1"/>
  <c r="K92" i="1"/>
  <c r="J92" i="1"/>
  <c r="I92" i="1"/>
  <c r="G92" i="1"/>
  <c r="F92" i="1"/>
  <c r="E92" i="1"/>
  <c r="D92" i="1"/>
  <c r="C92" i="1"/>
  <c r="P91" i="1"/>
  <c r="N91" i="1"/>
  <c r="M91" i="1"/>
  <c r="L91" i="1"/>
  <c r="K91" i="1"/>
  <c r="J91" i="1"/>
  <c r="I91" i="1"/>
  <c r="G91" i="1"/>
  <c r="F91" i="1"/>
  <c r="E91" i="1"/>
  <c r="D91" i="1"/>
  <c r="C91" i="1"/>
  <c r="P90" i="1"/>
  <c r="N90" i="1"/>
  <c r="M90" i="1"/>
  <c r="L90" i="1"/>
  <c r="K90" i="1"/>
  <c r="J90" i="1"/>
  <c r="I90" i="1"/>
  <c r="G90" i="1"/>
  <c r="F90" i="1"/>
  <c r="E90" i="1"/>
  <c r="D90" i="1"/>
  <c r="C90" i="1"/>
  <c r="P89" i="1"/>
  <c r="N89" i="1"/>
  <c r="M89" i="1"/>
  <c r="L89" i="1"/>
  <c r="K89" i="1"/>
  <c r="J89" i="1"/>
  <c r="I89" i="1"/>
  <c r="G89" i="1"/>
  <c r="F89" i="1"/>
  <c r="E89" i="1"/>
  <c r="D89" i="1"/>
  <c r="C89" i="1"/>
  <c r="P88" i="1"/>
  <c r="N88" i="1"/>
  <c r="M88" i="1"/>
  <c r="L88" i="1"/>
  <c r="K88" i="1"/>
  <c r="J88" i="1"/>
  <c r="I88" i="1"/>
  <c r="G88" i="1"/>
  <c r="F88" i="1"/>
  <c r="E88" i="1"/>
  <c r="D88" i="1"/>
  <c r="C88" i="1"/>
  <c r="P87" i="1"/>
  <c r="N87" i="1"/>
  <c r="M87" i="1"/>
  <c r="L87" i="1"/>
  <c r="K87" i="1"/>
  <c r="J87" i="1"/>
  <c r="I87" i="1"/>
  <c r="G87" i="1"/>
  <c r="F87" i="1"/>
  <c r="E87" i="1"/>
  <c r="D87" i="1"/>
  <c r="C87" i="1"/>
  <c r="P86" i="1"/>
  <c r="N86" i="1"/>
  <c r="M86" i="1"/>
  <c r="L86" i="1"/>
  <c r="K86" i="1"/>
  <c r="J86" i="1"/>
  <c r="I86" i="1"/>
  <c r="G86" i="1"/>
  <c r="F86" i="1"/>
  <c r="E86" i="1"/>
  <c r="D86" i="1"/>
  <c r="C86" i="1"/>
  <c r="P85" i="1"/>
  <c r="N85" i="1"/>
  <c r="M85" i="1"/>
  <c r="L85" i="1"/>
  <c r="K85" i="1"/>
  <c r="J85" i="1"/>
  <c r="I85" i="1"/>
  <c r="G85" i="1"/>
  <c r="F85" i="1"/>
  <c r="E85" i="1"/>
  <c r="D85" i="1"/>
  <c r="C85" i="1"/>
  <c r="P84" i="1"/>
  <c r="N84" i="1"/>
  <c r="M84" i="1"/>
  <c r="L84" i="1"/>
  <c r="K84" i="1"/>
  <c r="J84" i="1"/>
  <c r="I84" i="1"/>
  <c r="G84" i="1"/>
  <c r="F84" i="1"/>
  <c r="E84" i="1"/>
  <c r="D84" i="1"/>
  <c r="C84" i="1"/>
  <c r="P83" i="1"/>
  <c r="N83" i="1"/>
  <c r="M83" i="1"/>
  <c r="L83" i="1"/>
  <c r="K83" i="1"/>
  <c r="J83" i="1"/>
  <c r="I83" i="1"/>
  <c r="G83" i="1"/>
  <c r="F83" i="1"/>
  <c r="E83" i="1"/>
  <c r="D83" i="1"/>
  <c r="C83" i="1"/>
  <c r="P82" i="1"/>
  <c r="N82" i="1"/>
  <c r="M82" i="1"/>
  <c r="L82" i="1"/>
  <c r="K82" i="1"/>
  <c r="J82" i="1"/>
  <c r="I82" i="1"/>
  <c r="G82" i="1"/>
  <c r="F82" i="1"/>
  <c r="E82" i="1"/>
  <c r="D82" i="1"/>
  <c r="C82" i="1"/>
  <c r="P81" i="1"/>
  <c r="N81" i="1"/>
  <c r="M81" i="1"/>
  <c r="L81" i="1"/>
  <c r="K81" i="1"/>
  <c r="J81" i="1"/>
  <c r="I81" i="1"/>
  <c r="G81" i="1"/>
  <c r="F81" i="1"/>
  <c r="E81" i="1"/>
  <c r="D81" i="1"/>
  <c r="C81" i="1"/>
  <c r="P80" i="1"/>
  <c r="N80" i="1"/>
  <c r="M80" i="1"/>
  <c r="L80" i="1"/>
  <c r="K80" i="1"/>
  <c r="J80" i="1"/>
  <c r="I80" i="1"/>
  <c r="G80" i="1"/>
  <c r="F80" i="1"/>
  <c r="E80" i="1"/>
  <c r="D80" i="1"/>
  <c r="C80" i="1"/>
  <c r="P79" i="1"/>
  <c r="N79" i="1"/>
  <c r="M79" i="1"/>
  <c r="L79" i="1"/>
  <c r="K79" i="1"/>
  <c r="J79" i="1"/>
  <c r="I79" i="1"/>
  <c r="G79" i="1"/>
  <c r="F79" i="1"/>
  <c r="E79" i="1"/>
  <c r="D79" i="1"/>
  <c r="C79" i="1"/>
  <c r="P78" i="1"/>
  <c r="N78" i="1"/>
  <c r="M78" i="1"/>
  <c r="L78" i="1"/>
  <c r="K78" i="1"/>
  <c r="J78" i="1"/>
  <c r="I78" i="1"/>
  <c r="G78" i="1"/>
  <c r="F78" i="1"/>
  <c r="E78" i="1"/>
  <c r="D78" i="1"/>
  <c r="C78" i="1"/>
  <c r="P77" i="1"/>
  <c r="N77" i="1"/>
  <c r="M77" i="1"/>
  <c r="L77" i="1"/>
  <c r="K77" i="1"/>
  <c r="J77" i="1"/>
  <c r="I77" i="1"/>
  <c r="G77" i="1"/>
  <c r="F77" i="1"/>
  <c r="E77" i="1"/>
  <c r="D77" i="1"/>
  <c r="C77" i="1"/>
  <c r="P76" i="1"/>
  <c r="N76" i="1"/>
  <c r="M76" i="1"/>
  <c r="L76" i="1"/>
  <c r="K76" i="1"/>
  <c r="J76" i="1"/>
  <c r="I76" i="1"/>
  <c r="G76" i="1"/>
  <c r="F76" i="1"/>
  <c r="E76" i="1"/>
  <c r="D76" i="1"/>
  <c r="C76" i="1"/>
  <c r="P75" i="1"/>
  <c r="N75" i="1"/>
  <c r="M75" i="1"/>
  <c r="L75" i="1"/>
  <c r="K75" i="1"/>
  <c r="J75" i="1"/>
  <c r="I75" i="1"/>
  <c r="G75" i="1"/>
  <c r="F75" i="1"/>
  <c r="E75" i="1"/>
  <c r="D75" i="1"/>
  <c r="C75" i="1"/>
  <c r="P74" i="1"/>
  <c r="N74" i="1"/>
  <c r="M74" i="1"/>
  <c r="L74" i="1"/>
  <c r="K74" i="1"/>
  <c r="J74" i="1"/>
  <c r="I74" i="1"/>
  <c r="G74" i="1"/>
  <c r="F74" i="1"/>
  <c r="E74" i="1"/>
  <c r="D74" i="1"/>
  <c r="C74" i="1"/>
  <c r="P73" i="1"/>
  <c r="N73" i="1"/>
  <c r="M73" i="1"/>
  <c r="L73" i="1"/>
  <c r="K73" i="1"/>
  <c r="J73" i="1"/>
  <c r="I73" i="1"/>
  <c r="G73" i="1"/>
  <c r="F73" i="1"/>
  <c r="E73" i="1"/>
  <c r="D73" i="1"/>
  <c r="C73" i="1"/>
  <c r="P72" i="1"/>
  <c r="N72" i="1"/>
  <c r="M72" i="1"/>
  <c r="L72" i="1"/>
  <c r="K72" i="1"/>
  <c r="J72" i="1"/>
  <c r="I72" i="1"/>
  <c r="G72" i="1"/>
  <c r="F72" i="1"/>
  <c r="E72" i="1"/>
  <c r="D72" i="1"/>
  <c r="C72" i="1"/>
  <c r="P71" i="1"/>
  <c r="N71" i="1"/>
  <c r="M71" i="1"/>
  <c r="L71" i="1"/>
  <c r="K71" i="1"/>
  <c r="J71" i="1"/>
  <c r="I71" i="1"/>
  <c r="G71" i="1"/>
  <c r="F71" i="1"/>
  <c r="E71" i="1"/>
  <c r="D71" i="1"/>
  <c r="C71" i="1"/>
  <c r="P70" i="1"/>
  <c r="N70" i="1"/>
  <c r="M70" i="1"/>
  <c r="L70" i="1"/>
  <c r="K70" i="1"/>
  <c r="J70" i="1"/>
  <c r="I70" i="1"/>
  <c r="G70" i="1"/>
  <c r="F70" i="1"/>
  <c r="E70" i="1"/>
  <c r="D70" i="1"/>
  <c r="C70" i="1"/>
  <c r="P69" i="1"/>
  <c r="N69" i="1"/>
  <c r="M69" i="1"/>
  <c r="L69" i="1"/>
  <c r="K69" i="1"/>
  <c r="J69" i="1"/>
  <c r="I69" i="1"/>
  <c r="G69" i="1"/>
  <c r="F69" i="1"/>
  <c r="E69" i="1"/>
  <c r="D69" i="1"/>
  <c r="C69" i="1"/>
  <c r="P68" i="1"/>
  <c r="N68" i="1"/>
  <c r="M68" i="1"/>
  <c r="L68" i="1"/>
  <c r="K68" i="1"/>
  <c r="J68" i="1"/>
  <c r="I68" i="1"/>
  <c r="G68" i="1"/>
  <c r="F68" i="1"/>
  <c r="E68" i="1"/>
  <c r="D68" i="1"/>
  <c r="C68" i="1"/>
  <c r="P67" i="1"/>
  <c r="N67" i="1"/>
  <c r="M67" i="1"/>
  <c r="L67" i="1"/>
  <c r="K67" i="1"/>
  <c r="J67" i="1"/>
  <c r="I67" i="1"/>
  <c r="G67" i="1"/>
  <c r="F67" i="1"/>
  <c r="E67" i="1"/>
  <c r="D67" i="1"/>
  <c r="C67" i="1"/>
  <c r="P66" i="1"/>
  <c r="N66" i="1"/>
  <c r="M66" i="1"/>
  <c r="L66" i="1"/>
  <c r="K66" i="1"/>
  <c r="J66" i="1"/>
  <c r="I66" i="1"/>
  <c r="G66" i="1"/>
  <c r="F66" i="1"/>
  <c r="E66" i="1"/>
  <c r="D66" i="1"/>
  <c r="C66" i="1"/>
  <c r="P65" i="1"/>
  <c r="N65" i="1"/>
  <c r="M65" i="1"/>
  <c r="L65" i="1"/>
  <c r="K65" i="1"/>
  <c r="J65" i="1"/>
  <c r="I65" i="1"/>
  <c r="G65" i="1"/>
  <c r="F65" i="1"/>
  <c r="E65" i="1"/>
  <c r="D65" i="1"/>
  <c r="C65" i="1"/>
  <c r="P64" i="1"/>
  <c r="N64" i="1"/>
  <c r="M64" i="1"/>
  <c r="L64" i="1"/>
  <c r="K64" i="1"/>
  <c r="J64" i="1"/>
  <c r="I64" i="1"/>
  <c r="G64" i="1"/>
  <c r="F64" i="1"/>
  <c r="E64" i="1"/>
  <c r="D64" i="1"/>
  <c r="C64" i="1"/>
  <c r="P63" i="1"/>
  <c r="N63" i="1"/>
  <c r="M63" i="1"/>
  <c r="L63" i="1"/>
  <c r="K63" i="1"/>
  <c r="J63" i="1"/>
  <c r="I63" i="1"/>
  <c r="G63" i="1"/>
  <c r="F63" i="1"/>
  <c r="E63" i="1"/>
  <c r="D63" i="1"/>
  <c r="C63" i="1"/>
  <c r="P62" i="1"/>
  <c r="N62" i="1"/>
  <c r="M62" i="1"/>
  <c r="L62" i="1"/>
  <c r="K62" i="1"/>
  <c r="J62" i="1"/>
  <c r="I62" i="1"/>
  <c r="G62" i="1"/>
  <c r="F62" i="1"/>
  <c r="E62" i="1"/>
  <c r="D62" i="1"/>
  <c r="C62" i="1"/>
  <c r="P61" i="1"/>
  <c r="N61" i="1"/>
  <c r="M61" i="1"/>
  <c r="L61" i="1"/>
  <c r="K61" i="1"/>
  <c r="J61" i="1"/>
  <c r="I61" i="1"/>
  <c r="G61" i="1"/>
  <c r="F61" i="1"/>
  <c r="E61" i="1"/>
  <c r="D61" i="1"/>
  <c r="C61" i="1"/>
  <c r="P60" i="1"/>
  <c r="N60" i="1"/>
  <c r="M60" i="1"/>
  <c r="L60" i="1"/>
  <c r="K60" i="1"/>
  <c r="J60" i="1"/>
  <c r="I60" i="1"/>
  <c r="G60" i="1"/>
  <c r="F60" i="1"/>
  <c r="E60" i="1"/>
  <c r="D60" i="1"/>
  <c r="C60" i="1"/>
  <c r="P59" i="1"/>
  <c r="N59" i="1"/>
  <c r="M59" i="1"/>
  <c r="L59" i="1"/>
  <c r="K59" i="1"/>
  <c r="J59" i="1"/>
  <c r="I59" i="1"/>
  <c r="G59" i="1"/>
  <c r="F59" i="1"/>
  <c r="E59" i="1"/>
  <c r="D59" i="1"/>
  <c r="C59" i="1"/>
  <c r="P58" i="1"/>
  <c r="N58" i="1"/>
  <c r="M58" i="1"/>
  <c r="L58" i="1"/>
  <c r="K58" i="1"/>
  <c r="J58" i="1"/>
  <c r="I58" i="1"/>
  <c r="G58" i="1"/>
  <c r="F58" i="1"/>
  <c r="E58" i="1"/>
  <c r="D58" i="1"/>
  <c r="C58" i="1"/>
  <c r="P57" i="1"/>
  <c r="N57" i="1"/>
  <c r="M57" i="1"/>
  <c r="L57" i="1"/>
  <c r="K57" i="1"/>
  <c r="J57" i="1"/>
  <c r="I57" i="1"/>
  <c r="G57" i="1"/>
  <c r="F57" i="1"/>
  <c r="E57" i="1"/>
  <c r="D57" i="1"/>
  <c r="C57" i="1"/>
  <c r="P56" i="1"/>
  <c r="N56" i="1"/>
  <c r="M56" i="1"/>
  <c r="L56" i="1"/>
  <c r="K56" i="1"/>
  <c r="J56" i="1"/>
  <c r="I56" i="1"/>
  <c r="G56" i="1"/>
  <c r="F56" i="1"/>
  <c r="E56" i="1"/>
  <c r="D56" i="1"/>
  <c r="C56" i="1"/>
  <c r="P55" i="1"/>
  <c r="N55" i="1"/>
  <c r="M55" i="1"/>
  <c r="L55" i="1"/>
  <c r="K55" i="1"/>
  <c r="J55" i="1"/>
  <c r="I55" i="1"/>
  <c r="G55" i="1"/>
  <c r="F55" i="1"/>
  <c r="E55" i="1"/>
  <c r="D55" i="1"/>
  <c r="C55" i="1"/>
  <c r="P54" i="1"/>
  <c r="N54" i="1"/>
  <c r="M54" i="1"/>
  <c r="L54" i="1"/>
  <c r="K54" i="1"/>
  <c r="J54" i="1"/>
  <c r="I54" i="1"/>
  <c r="G54" i="1"/>
  <c r="F54" i="1"/>
  <c r="E54" i="1"/>
  <c r="D54" i="1"/>
  <c r="C54" i="1"/>
  <c r="P53" i="1"/>
  <c r="N53" i="1"/>
  <c r="M53" i="1"/>
  <c r="L53" i="1"/>
  <c r="K53" i="1"/>
  <c r="J53" i="1"/>
  <c r="I53" i="1"/>
  <c r="G53" i="1"/>
  <c r="F53" i="1"/>
  <c r="E53" i="1"/>
  <c r="D53" i="1"/>
  <c r="C53" i="1"/>
  <c r="P52" i="1"/>
  <c r="N52" i="1"/>
  <c r="M52" i="1"/>
  <c r="L52" i="1"/>
  <c r="K52" i="1"/>
  <c r="J52" i="1"/>
  <c r="I52" i="1"/>
  <c r="G52" i="1"/>
  <c r="F52" i="1"/>
  <c r="E52" i="1"/>
  <c r="D52" i="1"/>
  <c r="C52" i="1"/>
  <c r="P51" i="1"/>
  <c r="N51" i="1"/>
  <c r="M51" i="1"/>
  <c r="L51" i="1"/>
  <c r="K51" i="1"/>
  <c r="J51" i="1"/>
  <c r="I51" i="1"/>
  <c r="G51" i="1"/>
  <c r="F51" i="1"/>
  <c r="E51" i="1"/>
  <c r="D51" i="1"/>
  <c r="C51" i="1"/>
  <c r="P50" i="1"/>
  <c r="N50" i="1"/>
  <c r="M50" i="1"/>
  <c r="L50" i="1"/>
  <c r="K50" i="1"/>
  <c r="J50" i="1"/>
  <c r="I50" i="1"/>
  <c r="G50" i="1"/>
  <c r="F50" i="1"/>
  <c r="E50" i="1"/>
  <c r="D50" i="1"/>
  <c r="C50" i="1"/>
  <c r="P49" i="1"/>
  <c r="N49" i="1"/>
  <c r="M49" i="1"/>
  <c r="L49" i="1"/>
  <c r="K49" i="1"/>
  <c r="J49" i="1"/>
  <c r="I49" i="1"/>
  <c r="G49" i="1"/>
  <c r="F49" i="1"/>
  <c r="E49" i="1"/>
  <c r="D49" i="1"/>
  <c r="C49" i="1"/>
  <c r="P48" i="1"/>
  <c r="N48" i="1"/>
  <c r="M48" i="1"/>
  <c r="L48" i="1"/>
  <c r="K48" i="1"/>
  <c r="J48" i="1"/>
  <c r="I48" i="1"/>
  <c r="G48" i="1"/>
  <c r="F48" i="1"/>
  <c r="E48" i="1"/>
  <c r="D48" i="1"/>
  <c r="C48" i="1"/>
  <c r="P47" i="1"/>
  <c r="N47" i="1"/>
  <c r="M47" i="1"/>
  <c r="L47" i="1"/>
  <c r="K47" i="1"/>
  <c r="J47" i="1"/>
  <c r="I47" i="1"/>
  <c r="G47" i="1"/>
  <c r="F47" i="1"/>
  <c r="E47" i="1"/>
  <c r="D47" i="1"/>
  <c r="C47" i="1"/>
  <c r="P46" i="1"/>
  <c r="N46" i="1"/>
  <c r="M46" i="1"/>
  <c r="L46" i="1"/>
  <c r="K46" i="1"/>
  <c r="J46" i="1"/>
  <c r="I46" i="1"/>
  <c r="G46" i="1"/>
  <c r="F46" i="1"/>
  <c r="E46" i="1"/>
  <c r="D46" i="1"/>
  <c r="C46" i="1"/>
  <c r="P45" i="1"/>
  <c r="N45" i="1"/>
  <c r="M45" i="1"/>
  <c r="L45" i="1"/>
  <c r="K45" i="1"/>
  <c r="J45" i="1"/>
  <c r="I45" i="1"/>
  <c r="G45" i="1"/>
  <c r="F45" i="1"/>
  <c r="E45" i="1"/>
  <c r="D45" i="1"/>
  <c r="C45" i="1"/>
  <c r="P44" i="1"/>
  <c r="N44" i="1"/>
  <c r="M44" i="1"/>
  <c r="L44" i="1"/>
  <c r="K44" i="1"/>
  <c r="J44" i="1"/>
  <c r="I44" i="1"/>
  <c r="G44" i="1"/>
  <c r="F44" i="1"/>
  <c r="E44" i="1"/>
  <c r="D44" i="1"/>
  <c r="C44" i="1"/>
  <c r="P43" i="1"/>
  <c r="N43" i="1"/>
  <c r="M43" i="1"/>
  <c r="L43" i="1"/>
  <c r="K43" i="1"/>
  <c r="J43" i="1"/>
  <c r="I43" i="1"/>
  <c r="G43" i="1"/>
  <c r="F43" i="1"/>
  <c r="E43" i="1"/>
  <c r="D43" i="1"/>
  <c r="C43" i="1"/>
  <c r="P42" i="1"/>
  <c r="N42" i="1"/>
  <c r="M42" i="1"/>
  <c r="L42" i="1"/>
  <c r="K42" i="1"/>
  <c r="J42" i="1"/>
  <c r="I42" i="1"/>
  <c r="G42" i="1"/>
  <c r="F42" i="1"/>
  <c r="E42" i="1"/>
  <c r="D42" i="1"/>
  <c r="C42" i="1"/>
  <c r="P41" i="1"/>
  <c r="N41" i="1"/>
  <c r="M41" i="1"/>
  <c r="L41" i="1"/>
  <c r="K41" i="1"/>
  <c r="J41" i="1"/>
  <c r="I41" i="1"/>
  <c r="G41" i="1"/>
  <c r="F41" i="1"/>
  <c r="E41" i="1"/>
  <c r="D41" i="1"/>
  <c r="C41" i="1"/>
  <c r="P40" i="1"/>
  <c r="N40" i="1"/>
  <c r="M40" i="1"/>
  <c r="L40" i="1"/>
  <c r="K40" i="1"/>
  <c r="J40" i="1"/>
  <c r="I40" i="1"/>
  <c r="G40" i="1"/>
  <c r="F40" i="1"/>
  <c r="E40" i="1"/>
  <c r="D40" i="1"/>
  <c r="C40" i="1"/>
  <c r="P39" i="1"/>
  <c r="N39" i="1"/>
  <c r="M39" i="1"/>
  <c r="L39" i="1"/>
  <c r="K39" i="1"/>
  <c r="J39" i="1"/>
  <c r="I39" i="1"/>
  <c r="G39" i="1"/>
  <c r="F39" i="1"/>
  <c r="E39" i="1"/>
  <c r="D39" i="1"/>
  <c r="C39" i="1"/>
  <c r="P38" i="1"/>
  <c r="N38" i="1"/>
  <c r="M38" i="1"/>
  <c r="L38" i="1"/>
  <c r="K38" i="1"/>
  <c r="J38" i="1"/>
  <c r="I38" i="1"/>
  <c r="G38" i="1"/>
  <c r="F38" i="1"/>
  <c r="E38" i="1"/>
  <c r="D38" i="1"/>
  <c r="C38" i="1"/>
  <c r="P37" i="1"/>
  <c r="N37" i="1"/>
  <c r="M37" i="1"/>
  <c r="L37" i="1"/>
  <c r="K37" i="1"/>
  <c r="J37" i="1"/>
  <c r="I37" i="1"/>
  <c r="G37" i="1"/>
  <c r="F37" i="1"/>
  <c r="E37" i="1"/>
  <c r="D37" i="1"/>
  <c r="C37" i="1"/>
  <c r="P36" i="1"/>
  <c r="N36" i="1"/>
  <c r="M36" i="1"/>
  <c r="L36" i="1"/>
  <c r="K36" i="1"/>
  <c r="J36" i="1"/>
  <c r="I36" i="1"/>
  <c r="G36" i="1"/>
  <c r="F36" i="1"/>
  <c r="E36" i="1"/>
  <c r="D36" i="1"/>
  <c r="C36" i="1"/>
  <c r="P35" i="1"/>
  <c r="N35" i="1"/>
  <c r="M35" i="1"/>
  <c r="L35" i="1"/>
  <c r="K35" i="1"/>
  <c r="J35" i="1"/>
  <c r="I35" i="1"/>
  <c r="G35" i="1"/>
  <c r="F35" i="1"/>
  <c r="E35" i="1"/>
  <c r="D35" i="1"/>
  <c r="C35" i="1"/>
  <c r="P34" i="1"/>
  <c r="N34" i="1"/>
  <c r="M34" i="1"/>
  <c r="L34" i="1"/>
  <c r="K34" i="1"/>
  <c r="J34" i="1"/>
  <c r="I34" i="1"/>
  <c r="G34" i="1"/>
  <c r="F34" i="1"/>
  <c r="E34" i="1"/>
  <c r="D34" i="1"/>
  <c r="C34" i="1"/>
  <c r="P33" i="1"/>
  <c r="N33" i="1"/>
  <c r="M33" i="1"/>
  <c r="L33" i="1"/>
  <c r="K33" i="1"/>
  <c r="J33" i="1"/>
  <c r="I33" i="1"/>
  <c r="G33" i="1"/>
  <c r="F33" i="1"/>
  <c r="E33" i="1"/>
  <c r="D33" i="1"/>
  <c r="C33" i="1"/>
  <c r="P32" i="1"/>
  <c r="N32" i="1"/>
  <c r="M32" i="1"/>
  <c r="L32" i="1"/>
  <c r="K32" i="1"/>
  <c r="J32" i="1"/>
  <c r="I32" i="1"/>
  <c r="G32" i="1"/>
  <c r="F32" i="1"/>
  <c r="E32" i="1"/>
  <c r="D32" i="1"/>
  <c r="C32" i="1"/>
  <c r="P31" i="1"/>
  <c r="N31" i="1"/>
  <c r="M31" i="1"/>
  <c r="L31" i="1"/>
  <c r="K31" i="1"/>
  <c r="J31" i="1"/>
  <c r="I31" i="1"/>
  <c r="G31" i="1"/>
  <c r="F31" i="1"/>
  <c r="E31" i="1"/>
  <c r="D31" i="1"/>
  <c r="C31" i="1"/>
  <c r="P30" i="1"/>
  <c r="N30" i="1"/>
  <c r="M30" i="1"/>
  <c r="L30" i="1"/>
  <c r="K30" i="1"/>
  <c r="J30" i="1"/>
  <c r="I30" i="1"/>
  <c r="G30" i="1"/>
  <c r="F30" i="1"/>
  <c r="E30" i="1"/>
  <c r="D30" i="1"/>
  <c r="C30" i="1"/>
  <c r="P29" i="1"/>
  <c r="N29" i="1"/>
  <c r="M29" i="1"/>
  <c r="L29" i="1"/>
  <c r="K29" i="1"/>
  <c r="J29" i="1"/>
  <c r="I29" i="1"/>
  <c r="G29" i="1"/>
  <c r="F29" i="1"/>
  <c r="E29" i="1"/>
  <c r="D29" i="1"/>
  <c r="C29" i="1"/>
  <c r="P28" i="1"/>
  <c r="N28" i="1"/>
  <c r="M28" i="1"/>
  <c r="L28" i="1"/>
  <c r="K28" i="1"/>
  <c r="J28" i="1"/>
  <c r="I28" i="1"/>
  <c r="G28" i="1"/>
  <c r="F28" i="1"/>
  <c r="E28" i="1"/>
  <c r="D28" i="1"/>
  <c r="C28" i="1"/>
  <c r="P27" i="1"/>
  <c r="N27" i="1"/>
  <c r="M27" i="1"/>
  <c r="L27" i="1"/>
  <c r="K27" i="1"/>
  <c r="J27" i="1"/>
  <c r="I27" i="1"/>
  <c r="G27" i="1"/>
  <c r="F27" i="1"/>
  <c r="E27" i="1"/>
  <c r="D27" i="1"/>
  <c r="C27" i="1"/>
  <c r="V26" i="1"/>
  <c r="P26" i="1"/>
  <c r="N26" i="1"/>
  <c r="M26" i="1"/>
  <c r="L26" i="1"/>
  <c r="K26" i="1"/>
  <c r="J26" i="1"/>
  <c r="I26" i="1"/>
  <c r="G26" i="1"/>
  <c r="F26" i="1"/>
  <c r="E26" i="1"/>
  <c r="D26" i="1"/>
  <c r="C26" i="1"/>
  <c r="V25" i="1"/>
  <c r="P25" i="1"/>
  <c r="N25" i="1"/>
  <c r="M25" i="1"/>
  <c r="L25" i="1"/>
  <c r="K25" i="1"/>
  <c r="J25" i="1"/>
  <c r="I25" i="1"/>
  <c r="G25" i="1"/>
  <c r="F25" i="1"/>
  <c r="E25" i="1"/>
  <c r="D25" i="1"/>
  <c r="C25" i="1"/>
  <c r="P24" i="1"/>
  <c r="N24" i="1"/>
  <c r="M24" i="1"/>
  <c r="L24" i="1"/>
  <c r="K24" i="1"/>
  <c r="J24" i="1"/>
  <c r="I24" i="1"/>
  <c r="G24" i="1"/>
  <c r="F24" i="1"/>
  <c r="E24" i="1"/>
  <c r="D24" i="1"/>
  <c r="C24" i="1"/>
  <c r="V23" i="1"/>
  <c r="P23" i="1"/>
  <c r="N23" i="1"/>
  <c r="M23" i="1"/>
  <c r="L23" i="1"/>
  <c r="K23" i="1"/>
  <c r="J23" i="1"/>
  <c r="I23" i="1"/>
  <c r="G23" i="1"/>
  <c r="F23" i="1"/>
  <c r="E23" i="1"/>
  <c r="D23" i="1"/>
  <c r="C23" i="1"/>
  <c r="V22" i="1"/>
  <c r="P22" i="1"/>
  <c r="N22" i="1"/>
  <c r="M22" i="1"/>
  <c r="L22" i="1"/>
  <c r="K22" i="1"/>
  <c r="J22" i="1"/>
  <c r="I22" i="1"/>
  <c r="G22" i="1"/>
  <c r="F22" i="1"/>
  <c r="E22" i="1"/>
  <c r="D22" i="1"/>
  <c r="C22" i="1"/>
  <c r="V21" i="1"/>
  <c r="P21" i="1"/>
  <c r="N21" i="1"/>
  <c r="M21" i="1"/>
  <c r="L21" i="1"/>
  <c r="K21" i="1"/>
  <c r="J21" i="1"/>
  <c r="I21" i="1"/>
  <c r="G21" i="1"/>
  <c r="F21" i="1"/>
  <c r="E21" i="1"/>
  <c r="D21" i="1"/>
  <c r="C21" i="1"/>
  <c r="V20" i="1"/>
  <c r="P20" i="1"/>
  <c r="N20" i="1"/>
  <c r="M20" i="1"/>
  <c r="L20" i="1"/>
  <c r="K20" i="1"/>
  <c r="J20" i="1"/>
  <c r="I20" i="1"/>
  <c r="G20" i="1"/>
  <c r="F20" i="1"/>
  <c r="E20" i="1"/>
  <c r="D20" i="1"/>
  <c r="C20" i="1"/>
  <c r="P19" i="1"/>
  <c r="N19" i="1"/>
  <c r="M19" i="1"/>
  <c r="L19" i="1"/>
  <c r="K19" i="1"/>
  <c r="J19" i="1"/>
  <c r="I19" i="1"/>
  <c r="G19" i="1"/>
  <c r="F19" i="1"/>
  <c r="E19" i="1"/>
  <c r="D19" i="1"/>
  <c r="C19" i="1"/>
  <c r="P18" i="1"/>
  <c r="N18" i="1"/>
  <c r="M18" i="1"/>
  <c r="L18" i="1"/>
  <c r="K18" i="1"/>
  <c r="J18" i="1"/>
  <c r="I18" i="1"/>
  <c r="G18" i="1"/>
  <c r="F18" i="1"/>
  <c r="E18" i="1"/>
  <c r="D18" i="1"/>
  <c r="C18" i="1"/>
  <c r="P17" i="1"/>
  <c r="N17" i="1"/>
  <c r="M17" i="1"/>
  <c r="L17" i="1"/>
  <c r="K17" i="1"/>
  <c r="J17" i="1"/>
  <c r="I17" i="1"/>
  <c r="G17" i="1"/>
  <c r="F17" i="1"/>
  <c r="E17" i="1"/>
  <c r="D17" i="1"/>
  <c r="C17" i="1"/>
  <c r="P16" i="1"/>
  <c r="N16" i="1"/>
  <c r="M16" i="1"/>
  <c r="L16" i="1"/>
  <c r="K16" i="1"/>
  <c r="J16" i="1"/>
  <c r="I16" i="1"/>
  <c r="G16" i="1"/>
  <c r="F16" i="1"/>
  <c r="E16" i="1"/>
  <c r="D16" i="1"/>
  <c r="C16" i="1"/>
  <c r="Q12" i="1"/>
  <c r="Q11" i="1"/>
  <c r="U10" i="1"/>
  <c r="D10" i="1"/>
  <c r="C10" i="1"/>
  <c r="U9" i="1" a="1"/>
  <c r="U9" i="1"/>
  <c r="D9" i="1"/>
  <c r="AH8" i="1"/>
  <c r="AF8" i="1"/>
  <c r="AE8" i="1"/>
  <c r="AD8" i="1"/>
  <c r="AC8" i="1"/>
  <c r="AB8" i="1"/>
  <c r="D8" i="1"/>
  <c r="AH7" i="1"/>
  <c r="AF7" i="1"/>
  <c r="AE7" i="1"/>
  <c r="AD7" i="1"/>
  <c r="AC7" i="1"/>
  <c r="AB7" i="1"/>
  <c r="D7" i="1"/>
  <c r="AH6" i="1"/>
  <c r="AF6" i="1"/>
  <c r="AE6" i="1"/>
  <c r="AD6" i="1"/>
  <c r="AC6" i="1"/>
  <c r="AB6" i="1"/>
  <c r="D6" i="1"/>
  <c r="AH5" i="1"/>
  <c r="AF5" i="1"/>
  <c r="AE5" i="1"/>
  <c r="AD5" i="1"/>
  <c r="AC5" i="1"/>
  <c r="AB5" i="1"/>
  <c r="Y5" i="1"/>
  <c r="X5" i="1"/>
  <c r="W5" i="1"/>
  <c r="V5" i="1"/>
  <c r="U5" i="1"/>
  <c r="D5" i="1"/>
  <c r="AH4" i="1"/>
  <c r="AF4" i="1"/>
  <c r="AE4" i="1"/>
  <c r="AD4" i="1"/>
  <c r="AC4" i="1"/>
  <c r="AB4" i="1"/>
  <c r="Y4" i="1"/>
  <c r="X4" i="1"/>
  <c r="W4" i="1"/>
  <c r="V4" i="1"/>
  <c r="U4" i="1"/>
  <c r="I4" i="1"/>
  <c r="AN3" i="1"/>
  <c r="AM3" i="1"/>
  <c r="AL3" i="1"/>
  <c r="AK3" i="1"/>
  <c r="AJ3" i="1"/>
  <c r="B59" i="2"/>
  <c r="B58" i="2"/>
  <c r="B57" i="2"/>
  <c r="B56" i="2"/>
  <c r="G52" i="2"/>
  <c r="F52" i="2"/>
  <c r="E52" i="2"/>
  <c r="D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B42" i="2"/>
  <c r="B41" i="2"/>
  <c r="B40" i="2"/>
  <c r="B39" i="2"/>
  <c r="B38" i="2"/>
  <c r="B37" i="2" a="1"/>
  <c r="B37" i="2"/>
  <c r="B36" i="2"/>
  <c r="B31" i="2"/>
  <c r="B30" i="2"/>
  <c r="B29" i="2"/>
  <c r="B28" i="2"/>
  <c r="B27" i="2"/>
  <c r="B26" i="2"/>
  <c r="B25" i="2"/>
  <c r="B24" i="2"/>
  <c r="B19" i="2"/>
  <c r="B18" i="2"/>
  <c r="B17" i="2"/>
  <c r="C10" i="2"/>
  <c r="B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G248" i="3"/>
  <c r="F248" i="3"/>
  <c r="E248" i="3"/>
  <c r="G247" i="3"/>
  <c r="F247" i="3"/>
  <c r="F246" i="3" s="1"/>
  <c r="F245" i="3" s="1"/>
  <c r="F244" i="3" s="1"/>
  <c r="F243" i="3" s="1"/>
  <c r="F242" i="3" s="1"/>
  <c r="F241" i="3" s="1"/>
  <c r="F240" i="3" s="1"/>
  <c r="F239" i="3" s="1"/>
  <c r="F238" i="3" s="1"/>
  <c r="F237" i="3" s="1"/>
  <c r="F236" i="3" s="1"/>
  <c r="F235" i="3" s="1"/>
  <c r="F234" i="3" s="1"/>
  <c r="F233" i="3" s="1"/>
  <c r="F232" i="3" s="1"/>
  <c r="F231" i="3" s="1"/>
  <c r="F230" i="3" s="1"/>
  <c r="F229" i="3" s="1"/>
  <c r="F228" i="3" s="1"/>
  <c r="F227" i="3" s="1"/>
  <c r="F226" i="3" s="1"/>
  <c r="F225" i="3" s="1"/>
  <c r="F224" i="3" s="1"/>
  <c r="F223" i="3" s="1"/>
  <c r="F222" i="3" s="1"/>
  <c r="F221" i="3" s="1"/>
  <c r="F220" i="3" s="1"/>
  <c r="F219" i="3" s="1"/>
  <c r="F218" i="3" s="1"/>
  <c r="F217" i="3" s="1"/>
  <c r="F216" i="3" s="1"/>
  <c r="F215" i="3" s="1"/>
  <c r="F214" i="3" s="1"/>
  <c r="F213" i="3" s="1"/>
  <c r="F212" i="3" s="1"/>
  <c r="F211" i="3" s="1"/>
  <c r="F210" i="3" s="1"/>
  <c r="F209" i="3" s="1"/>
  <c r="F208" i="3" s="1"/>
  <c r="F207" i="3" s="1"/>
  <c r="F206" i="3" s="1"/>
  <c r="F205" i="3" s="1"/>
  <c r="F204" i="3" s="1"/>
  <c r="F203" i="3" s="1"/>
  <c r="F202" i="3" s="1"/>
  <c r="F201" i="3" s="1"/>
  <c r="F200" i="3" s="1"/>
  <c r="F199" i="3" s="1"/>
  <c r="F198" i="3" s="1"/>
  <c r="F197" i="3" s="1"/>
  <c r="F196" i="3" s="1"/>
  <c r="F195" i="3" s="1"/>
  <c r="F194" i="3" s="1"/>
  <c r="F193" i="3" s="1"/>
  <c r="F192" i="3" s="1"/>
  <c r="F191" i="3" s="1"/>
  <c r="F190" i="3" s="1"/>
  <c r="F189" i="3" s="1"/>
  <c r="F188" i="3" s="1"/>
  <c r="F187" i="3" s="1"/>
  <c r="F186" i="3" s="1"/>
  <c r="F185" i="3" s="1"/>
  <c r="F184" i="3" s="1"/>
  <c r="F183" i="3" s="1"/>
  <c r="F182" i="3" s="1"/>
  <c r="F181" i="3" s="1"/>
  <c r="F180" i="3" s="1"/>
  <c r="F179" i="3" s="1"/>
  <c r="F178" i="3" s="1"/>
  <c r="F177" i="3" s="1"/>
  <c r="F176" i="3" s="1"/>
  <c r="F175" i="3" s="1"/>
  <c r="F174" i="3" s="1"/>
  <c r="F173" i="3" s="1"/>
  <c r="F172" i="3" s="1"/>
  <c r="F171" i="3" s="1"/>
  <c r="F170" i="3" s="1"/>
  <c r="F169" i="3" s="1"/>
  <c r="F168" i="3" s="1"/>
  <c r="F167" i="3" s="1"/>
  <c r="F166" i="3" s="1"/>
  <c r="F165" i="3" s="1"/>
  <c r="F164" i="3" s="1"/>
  <c r="F163" i="3" s="1"/>
  <c r="F162" i="3" s="1"/>
  <c r="F161" i="3" s="1"/>
  <c r="F160" i="3" s="1"/>
  <c r="F159" i="3" s="1"/>
  <c r="F158" i="3" s="1"/>
  <c r="F157" i="3" s="1"/>
  <c r="F156" i="3" s="1"/>
  <c r="F155" i="3" s="1"/>
  <c r="F154" i="3" s="1"/>
  <c r="F153" i="3" s="1"/>
  <c r="F152" i="3" s="1"/>
  <c r="F151" i="3" s="1"/>
  <c r="F150" i="3" s="1"/>
  <c r="F149" i="3" s="1"/>
  <c r="F148" i="3" s="1"/>
  <c r="F147" i="3" s="1"/>
  <c r="F146" i="3" s="1"/>
  <c r="F145" i="3" s="1"/>
  <c r="F144" i="3" s="1"/>
  <c r="F143" i="3" s="1"/>
  <c r="F142" i="3" s="1"/>
  <c r="F141" i="3" s="1"/>
  <c r="F140" i="3" s="1"/>
  <c r="F139" i="3" s="1"/>
  <c r="F138" i="3" s="1"/>
  <c r="F137" i="3" s="1"/>
  <c r="F136" i="3" s="1"/>
  <c r="F135" i="3" s="1"/>
  <c r="F134" i="3" s="1"/>
  <c r="F133" i="3" s="1"/>
  <c r="F132" i="3" s="1"/>
  <c r="F131" i="3" s="1"/>
  <c r="F130" i="3" s="1"/>
  <c r="F129" i="3" s="1"/>
  <c r="F128" i="3" s="1"/>
  <c r="F127" i="3" s="1"/>
  <c r="F126" i="3" s="1"/>
  <c r="F125" i="3" s="1"/>
  <c r="F124" i="3" s="1"/>
  <c r="F123" i="3" s="1"/>
  <c r="F122" i="3" s="1"/>
  <c r="F121" i="3" s="1"/>
  <c r="F120" i="3" s="1"/>
  <c r="F119" i="3" s="1"/>
  <c r="F118" i="3" s="1"/>
  <c r="F117" i="3" s="1"/>
  <c r="F116" i="3" s="1"/>
  <c r="F115" i="3" s="1"/>
  <c r="F114" i="3" s="1"/>
  <c r="F113" i="3" s="1"/>
  <c r="F112" i="3" s="1"/>
  <c r="F111" i="3" s="1"/>
  <c r="F110" i="3" s="1"/>
  <c r="F109" i="3" s="1"/>
  <c r="F108" i="3" s="1"/>
  <c r="F107" i="3" s="1"/>
  <c r="F106" i="3" s="1"/>
  <c r="F105" i="3" s="1"/>
  <c r="F104" i="3" s="1"/>
  <c r="F103" i="3" s="1"/>
  <c r="F102" i="3" s="1"/>
  <c r="F101" i="3" s="1"/>
  <c r="F100" i="3" s="1"/>
  <c r="F99" i="3" s="1"/>
  <c r="F98" i="3" s="1"/>
  <c r="F97" i="3" s="1"/>
  <c r="F96" i="3" s="1"/>
  <c r="F95" i="3" s="1"/>
  <c r="F94" i="3" s="1"/>
  <c r="F93" i="3" s="1"/>
  <c r="F92" i="3" s="1"/>
  <c r="F91" i="3" s="1"/>
  <c r="F90" i="3" s="1"/>
  <c r="F89" i="3" s="1"/>
  <c r="F88" i="3" s="1"/>
  <c r="F87" i="3" s="1"/>
  <c r="F86" i="3" s="1"/>
  <c r="F85" i="3" s="1"/>
  <c r="F84" i="3" s="1"/>
  <c r="F83" i="3" s="1"/>
  <c r="F82" i="3" s="1"/>
  <c r="F81" i="3" s="1"/>
  <c r="F80" i="3" s="1"/>
  <c r="F79" i="3" s="1"/>
  <c r="F78" i="3" s="1"/>
  <c r="F77" i="3" s="1"/>
  <c r="F76" i="3" s="1"/>
  <c r="F75" i="3" s="1"/>
  <c r="F74" i="3" s="1"/>
  <c r="F73" i="3" s="1"/>
  <c r="F72" i="3" s="1"/>
  <c r="F71" i="3" s="1"/>
  <c r="F70" i="3" s="1"/>
  <c r="F69" i="3" s="1"/>
  <c r="F68" i="3" s="1"/>
  <c r="F67" i="3" s="1"/>
  <c r="F66" i="3" s="1"/>
  <c r="F65" i="3" s="1"/>
  <c r="F64" i="3" s="1"/>
  <c r="F63" i="3" s="1"/>
  <c r="F62" i="3" s="1"/>
  <c r="F61" i="3" s="1"/>
  <c r="F60" i="3" s="1"/>
  <c r="F59" i="3" s="1"/>
  <c r="F58" i="3" s="1"/>
  <c r="F57" i="3" s="1"/>
  <c r="F56" i="3" s="1"/>
  <c r="F55" i="3" s="1"/>
  <c r="F54" i="3" s="1"/>
  <c r="F53" i="3" s="1"/>
  <c r="F52" i="3" s="1"/>
  <c r="F51" i="3" s="1"/>
  <c r="F50" i="3" s="1"/>
  <c r="F49" i="3" s="1"/>
  <c r="F48" i="3" s="1"/>
  <c r="F47" i="3" s="1"/>
  <c r="F46" i="3" s="1"/>
  <c r="F45" i="3" s="1"/>
  <c r="F44" i="3" s="1"/>
  <c r="F43" i="3" s="1"/>
  <c r="F42" i="3" s="1"/>
  <c r="F41" i="3" s="1"/>
  <c r="F40" i="3" s="1"/>
  <c r="F39" i="3" s="1"/>
  <c r="F38" i="3" s="1"/>
  <c r="F37" i="3" s="1"/>
  <c r="F36" i="3" s="1"/>
  <c r="F35" i="3" s="1"/>
  <c r="F34" i="3" s="1"/>
  <c r="F33" i="3" s="1"/>
  <c r="F32" i="3" s="1"/>
  <c r="F31" i="3" s="1"/>
  <c r="F30" i="3" s="1"/>
  <c r="F29" i="3" s="1"/>
  <c r="F28" i="3" s="1"/>
  <c r="F27" i="3" s="1"/>
  <c r="F26" i="3" s="1"/>
  <c r="F25" i="3" s="1"/>
  <c r="F24" i="3" s="1"/>
  <c r="F23" i="3" s="1"/>
  <c r="F22" i="3" s="1"/>
  <c r="F21" i="3" s="1"/>
  <c r="F20" i="3" s="1"/>
  <c r="F19" i="3" s="1"/>
  <c r="F18" i="3" s="1"/>
  <c r="F17" i="3" s="1"/>
  <c r="F16" i="3" s="1"/>
  <c r="F15" i="3" s="1"/>
  <c r="F14" i="3" s="1"/>
  <c r="F13" i="3" s="1"/>
  <c r="F12" i="3" s="1"/>
  <c r="F11" i="3" s="1"/>
  <c r="F10" i="3" s="1"/>
  <c r="F9" i="3" s="1"/>
  <c r="F8" i="3" s="1"/>
  <c r="F7" i="3" s="1"/>
  <c r="F6" i="3" s="1"/>
  <c r="F5" i="3" s="1"/>
  <c r="F4" i="3" s="1"/>
  <c r="F3" i="3" s="1"/>
  <c r="F2" i="3" s="1"/>
  <c r="E247" i="3"/>
  <c r="G246" i="3"/>
  <c r="E246" i="3"/>
  <c r="G245" i="3"/>
  <c r="E245" i="3"/>
  <c r="G244" i="3"/>
  <c r="E244" i="3"/>
  <c r="G243" i="3"/>
  <c r="E243" i="3"/>
  <c r="G242" i="3"/>
  <c r="E242" i="3"/>
  <c r="G241" i="3"/>
  <c r="E241" i="3"/>
  <c r="G240" i="3"/>
  <c r="E240" i="3"/>
  <c r="G239" i="3"/>
  <c r="E239" i="3"/>
  <c r="G238" i="3"/>
  <c r="E238" i="3"/>
  <c r="G237" i="3"/>
  <c r="E237" i="3"/>
  <c r="G236" i="3"/>
  <c r="E236" i="3"/>
  <c r="G235" i="3"/>
  <c r="E235" i="3"/>
  <c r="G234" i="3"/>
  <c r="E234" i="3"/>
  <c r="G233" i="3"/>
  <c r="E233" i="3"/>
  <c r="G232" i="3"/>
  <c r="E232" i="3"/>
  <c r="G231" i="3"/>
  <c r="E231" i="3"/>
  <c r="G230" i="3"/>
  <c r="E230" i="3"/>
  <c r="G229" i="3"/>
  <c r="E229" i="3"/>
  <c r="G228" i="3"/>
  <c r="E228" i="3"/>
  <c r="G227" i="3"/>
  <c r="E227" i="3"/>
  <c r="G226" i="3"/>
  <c r="E226" i="3"/>
  <c r="G225" i="3"/>
  <c r="E225" i="3"/>
  <c r="G224" i="3"/>
  <c r="E224" i="3"/>
  <c r="G223" i="3"/>
  <c r="E223" i="3"/>
  <c r="G222" i="3"/>
  <c r="E222" i="3"/>
  <c r="G221" i="3"/>
  <c r="E221" i="3"/>
  <c r="G220" i="3"/>
  <c r="E220" i="3"/>
  <c r="G219" i="3"/>
  <c r="E219" i="3"/>
  <c r="G218" i="3"/>
  <c r="E218" i="3"/>
  <c r="G217" i="3"/>
  <c r="E217" i="3"/>
  <c r="G216" i="3"/>
  <c r="E216" i="3"/>
  <c r="G215" i="3"/>
  <c r="E215" i="3"/>
  <c r="G214" i="3"/>
  <c r="E214" i="3"/>
  <c r="G213" i="3"/>
  <c r="E213" i="3"/>
  <c r="G212" i="3"/>
  <c r="E212" i="3"/>
  <c r="G211" i="3"/>
  <c r="E211" i="3"/>
  <c r="G210" i="3"/>
  <c r="E210" i="3"/>
  <c r="G209" i="3"/>
  <c r="E209" i="3"/>
  <c r="G208" i="3"/>
  <c r="E208" i="3"/>
  <c r="G207" i="3"/>
  <c r="E207" i="3"/>
  <c r="G206" i="3"/>
  <c r="E206" i="3"/>
  <c r="G205" i="3"/>
  <c r="E205" i="3"/>
  <c r="G204" i="3"/>
  <c r="E204" i="3"/>
  <c r="G203" i="3"/>
  <c r="E203" i="3"/>
  <c r="G202" i="3"/>
  <c r="E202" i="3"/>
  <c r="G201" i="3"/>
  <c r="E201" i="3"/>
  <c r="G200" i="3"/>
  <c r="E200" i="3"/>
  <c r="G199" i="3"/>
  <c r="E199" i="3"/>
  <c r="G198" i="3"/>
  <c r="E198" i="3"/>
  <c r="G197" i="3"/>
  <c r="E197" i="3"/>
  <c r="G196" i="3"/>
  <c r="E196" i="3"/>
  <c r="G195" i="3"/>
  <c r="E195" i="3"/>
  <c r="G194" i="3"/>
  <c r="E194" i="3"/>
  <c r="G193" i="3"/>
  <c r="E193" i="3"/>
  <c r="G192" i="3"/>
  <c r="E192" i="3"/>
  <c r="G191" i="3"/>
  <c r="E191" i="3"/>
  <c r="G190" i="3"/>
  <c r="E190" i="3"/>
  <c r="G189" i="3"/>
  <c r="E189" i="3"/>
  <c r="G188" i="3"/>
  <c r="E188" i="3"/>
  <c r="G187" i="3"/>
  <c r="E187" i="3"/>
  <c r="G186" i="3"/>
  <c r="E186" i="3"/>
  <c r="G185" i="3"/>
  <c r="E185" i="3"/>
  <c r="G184" i="3"/>
  <c r="E184" i="3"/>
  <c r="G183" i="3"/>
  <c r="E183" i="3"/>
  <c r="G182" i="3"/>
  <c r="E182" i="3"/>
  <c r="G181" i="3"/>
  <c r="E181" i="3"/>
  <c r="G180" i="3"/>
  <c r="E180" i="3"/>
  <c r="G179" i="3"/>
  <c r="E179" i="3"/>
  <c r="G178" i="3"/>
  <c r="E178" i="3"/>
  <c r="G177" i="3"/>
  <c r="E177" i="3"/>
  <c r="G176" i="3"/>
  <c r="E176" i="3"/>
  <c r="G175" i="3"/>
  <c r="E175" i="3"/>
  <c r="G174" i="3"/>
  <c r="E174" i="3"/>
  <c r="G173" i="3"/>
  <c r="E173" i="3"/>
  <c r="G172" i="3"/>
  <c r="E172" i="3"/>
  <c r="G171" i="3"/>
  <c r="E171" i="3"/>
  <c r="G170" i="3"/>
  <c r="E170" i="3"/>
  <c r="G169" i="3"/>
  <c r="E169" i="3"/>
  <c r="G168" i="3"/>
  <c r="E168" i="3"/>
  <c r="G167" i="3"/>
  <c r="E167" i="3"/>
  <c r="G166" i="3"/>
  <c r="E166" i="3"/>
  <c r="G165" i="3"/>
  <c r="E165" i="3"/>
  <c r="G164" i="3"/>
  <c r="E164" i="3"/>
  <c r="G163" i="3"/>
  <c r="E163" i="3"/>
  <c r="G162" i="3"/>
  <c r="E162" i="3"/>
  <c r="G161" i="3"/>
  <c r="E161" i="3"/>
  <c r="G160" i="3"/>
  <c r="E160" i="3"/>
  <c r="G159" i="3"/>
  <c r="E159" i="3"/>
  <c r="G158" i="3"/>
  <c r="E158" i="3"/>
  <c r="G157" i="3"/>
  <c r="E157" i="3"/>
  <c r="G156" i="3"/>
  <c r="E156" i="3"/>
  <c r="G155" i="3"/>
  <c r="E155" i="3"/>
  <c r="G154" i="3"/>
  <c r="E154" i="3"/>
  <c r="G153" i="3"/>
  <c r="E153" i="3"/>
  <c r="G152" i="3"/>
  <c r="E152" i="3"/>
  <c r="G151" i="3"/>
  <c r="E151" i="3"/>
  <c r="G150" i="3"/>
  <c r="E150" i="3"/>
  <c r="G149" i="3"/>
  <c r="E149" i="3"/>
  <c r="G148" i="3"/>
  <c r="E148" i="3"/>
  <c r="G147" i="3"/>
  <c r="E147" i="3"/>
  <c r="G146" i="3"/>
  <c r="E146" i="3"/>
  <c r="G145" i="3"/>
  <c r="E145" i="3"/>
  <c r="G144" i="3"/>
  <c r="E144" i="3"/>
  <c r="G143" i="3"/>
  <c r="E143" i="3"/>
  <c r="G142" i="3"/>
  <c r="E142" i="3"/>
  <c r="G141" i="3"/>
  <c r="E141" i="3"/>
  <c r="G140" i="3"/>
  <c r="E140" i="3"/>
  <c r="G139" i="3"/>
  <c r="E139" i="3"/>
  <c r="G138" i="3"/>
  <c r="E138" i="3"/>
  <c r="G137" i="3"/>
  <c r="E137" i="3"/>
  <c r="G136" i="3"/>
  <c r="E136" i="3"/>
  <c r="G135" i="3"/>
  <c r="E135" i="3"/>
  <c r="G134" i="3"/>
  <c r="E134" i="3"/>
  <c r="G133" i="3"/>
  <c r="E133" i="3"/>
  <c r="G132" i="3"/>
  <c r="E132" i="3"/>
  <c r="G131" i="3"/>
  <c r="E131" i="3"/>
  <c r="G130" i="3"/>
  <c r="E130" i="3"/>
  <c r="G129" i="3"/>
  <c r="E129" i="3"/>
  <c r="G128" i="3"/>
  <c r="E128" i="3"/>
  <c r="G127" i="3"/>
  <c r="E127" i="3"/>
  <c r="G126" i="3"/>
  <c r="E126" i="3"/>
  <c r="G125" i="3"/>
  <c r="E125" i="3"/>
  <c r="G124" i="3"/>
  <c r="E124" i="3"/>
  <c r="G123" i="3"/>
  <c r="E123" i="3"/>
  <c r="G122" i="3"/>
  <c r="E122" i="3"/>
  <c r="G121" i="3"/>
  <c r="E121" i="3"/>
  <c r="G120" i="3"/>
  <c r="E120" i="3"/>
  <c r="G119" i="3"/>
  <c r="E119" i="3"/>
  <c r="G118" i="3"/>
  <c r="E118" i="3"/>
  <c r="G117" i="3"/>
  <c r="E117" i="3"/>
  <c r="G116" i="3"/>
  <c r="E116" i="3"/>
  <c r="G115" i="3"/>
  <c r="E115" i="3"/>
  <c r="G114" i="3"/>
  <c r="E114" i="3"/>
  <c r="G113" i="3"/>
  <c r="E113" i="3"/>
  <c r="G112" i="3"/>
  <c r="E112" i="3"/>
  <c r="G111" i="3"/>
  <c r="E111" i="3"/>
  <c r="G110" i="3"/>
  <c r="E110" i="3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P7" i="3"/>
  <c r="O7" i="3"/>
  <c r="G7" i="3"/>
  <c r="E7" i="3"/>
  <c r="G6" i="3"/>
  <c r="E6" i="3"/>
  <c r="G5" i="3"/>
  <c r="E5" i="3"/>
  <c r="G4" i="3"/>
  <c r="E4" i="3"/>
  <c r="G3" i="3"/>
  <c r="E3" i="3"/>
  <c r="A3" i="3"/>
  <c r="O2" i="3" a="1"/>
  <c r="O2" i="3" s="1"/>
  <c r="N2" i="3" a="1"/>
  <c r="N2" i="3"/>
  <c r="G2" i="3"/>
  <c r="E2" i="3"/>
  <c r="C2" i="3"/>
  <c r="C3" i="3" l="1"/>
  <c r="A4" i="3"/>
  <c r="A5" i="3" l="1"/>
  <c r="C4" i="3"/>
  <c r="C5" i="3" l="1"/>
  <c r="A6" i="3"/>
  <c r="A7" i="3" l="1"/>
  <c r="C6" i="3"/>
  <c r="A8" i="3" l="1"/>
  <c r="C7" i="3"/>
  <c r="A9" i="3" l="1"/>
  <c r="C8" i="3"/>
  <c r="A10" i="3" l="1"/>
  <c r="C9" i="3"/>
  <c r="C10" i="3" l="1"/>
  <c r="A11" i="3"/>
  <c r="C11" i="3" l="1"/>
  <c r="A12" i="3"/>
  <c r="A13" i="3" l="1"/>
  <c r="C12" i="3"/>
  <c r="C13" i="3" l="1"/>
  <c r="A14" i="3"/>
  <c r="A15" i="3" l="1"/>
  <c r="C14" i="3"/>
  <c r="C15" i="3" l="1"/>
  <c r="A16" i="3"/>
  <c r="A17" i="3" l="1"/>
  <c r="C16" i="3"/>
  <c r="A18" i="3" l="1"/>
  <c r="C17" i="3"/>
  <c r="C18" i="3" l="1"/>
  <c r="A19" i="3"/>
  <c r="A20" i="3" l="1"/>
  <c r="C19" i="3"/>
  <c r="A21" i="3" l="1"/>
  <c r="C20" i="3"/>
  <c r="A22" i="3" l="1"/>
  <c r="C21" i="3"/>
  <c r="A23" i="3" l="1"/>
  <c r="C22" i="3"/>
  <c r="A24" i="3" l="1"/>
  <c r="C23" i="3"/>
  <c r="A25" i="3" l="1"/>
  <c r="C24" i="3"/>
  <c r="A26" i="3" l="1"/>
  <c r="C25" i="3"/>
  <c r="C26" i="3" l="1"/>
  <c r="A27" i="3"/>
  <c r="A28" i="3" l="1"/>
  <c r="C27" i="3"/>
  <c r="A29" i="3" l="1"/>
  <c r="C28" i="3"/>
  <c r="A30" i="3" l="1"/>
  <c r="C29" i="3"/>
  <c r="A31" i="3" l="1"/>
  <c r="C30" i="3"/>
  <c r="C31" i="3" l="1"/>
  <c r="A32" i="3"/>
  <c r="A33" i="3" l="1"/>
  <c r="C32" i="3"/>
  <c r="A34" i="3" l="1"/>
  <c r="C33" i="3"/>
  <c r="A35" i="3" l="1"/>
  <c r="C34" i="3"/>
  <c r="A36" i="3" l="1"/>
  <c r="C35" i="3"/>
  <c r="C36" i="3" l="1"/>
  <c r="A37" i="3"/>
  <c r="A38" i="3" l="1"/>
  <c r="C37" i="3"/>
  <c r="C38" i="3" l="1"/>
  <c r="A39" i="3"/>
  <c r="A40" i="3" l="1"/>
  <c r="C39" i="3"/>
  <c r="A41" i="3" l="1"/>
  <c r="C40" i="3"/>
  <c r="A42" i="3" l="1"/>
  <c r="C41" i="3"/>
  <c r="C42" i="3" l="1"/>
  <c r="B2" i="3" a="1"/>
  <c r="B34" i="3" l="1"/>
  <c r="B29" i="3"/>
  <c r="B21" i="3"/>
  <c r="B13" i="3"/>
  <c r="B36" i="3"/>
  <c r="B26" i="3"/>
  <c r="B18" i="3"/>
  <c r="B10" i="3"/>
  <c r="B5" i="3"/>
  <c r="B41" i="3"/>
  <c r="B38" i="3"/>
  <c r="B31" i="3"/>
  <c r="B23" i="3"/>
  <c r="B15" i="3"/>
  <c r="B33" i="3"/>
  <c r="B7" i="3"/>
  <c r="B40" i="3"/>
  <c r="B28" i="3"/>
  <c r="B20" i="3"/>
  <c r="B12" i="3"/>
  <c r="B42" i="3"/>
  <c r="B25" i="3"/>
  <c r="B17" i="3"/>
  <c r="B9" i="3"/>
  <c r="B4" i="3"/>
  <c r="B35" i="3"/>
  <c r="B2" i="3"/>
  <c r="B30" i="3"/>
  <c r="B22" i="3"/>
  <c r="B14" i="3"/>
  <c r="B37" i="3"/>
  <c r="B27" i="3"/>
  <c r="B19" i="3"/>
  <c r="B11" i="3"/>
  <c r="B6" i="3"/>
  <c r="B39" i="3"/>
  <c r="B32" i="3"/>
  <c r="B24" i="3"/>
  <c r="B16" i="3"/>
  <c r="B8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<sst xmlns="http://schemas.openxmlformats.org/spreadsheetml/2006/main" count="479" uniqueCount="217">
  <si>
    <t>Portfolio Return</t>
  </si>
  <si>
    <t>Asset 5</t>
  </si>
  <si>
    <t>Asset 4</t>
  </si>
  <si>
    <t>Asset 3</t>
  </si>
  <si>
    <t>Asset 2</t>
  </si>
  <si>
    <t>Asset 1</t>
  </si>
  <si>
    <t>Date</t>
  </si>
  <si>
    <t>Observation</t>
  </si>
  <si>
    <t>Log Returns</t>
  </si>
  <si>
    <t>Closing Prices</t>
  </si>
  <si>
    <t>10) This is the broad guidance, ask me if any questions; but before that please read the appropriate books (on VaR)</t>
  </si>
  <si>
    <t>9) If you are not sure of the excel function you can also sort/ rank order the returns and identify the 95% VaR</t>
  </si>
  <si>
    <t>8) Using appropriate excel function calculate the 95% (percentile) VaR - both percentage VaR and Dollar/ Rupee VaR</t>
  </si>
  <si>
    <t>Total</t>
  </si>
  <si>
    <t>6) Calculate the weighted average portfolio return in cells O15:G264; extend as necessary</t>
  </si>
  <si>
    <t>4) Download the closing prices of the five stocks for the past one year and enter in c15:g264; if more rows are needed please extend the matrix accordingly</t>
  </si>
  <si>
    <t>3) Caculate the weights in cells D4:D8</t>
  </si>
  <si>
    <t>2) Decide on investment amounts for each of them and enter in cells C4 through C8</t>
  </si>
  <si>
    <t>1) Select 5 equities that are listed on either the NSE or BSE stock exchange and enter their names in B4 through B8 (for reference)</t>
  </si>
  <si>
    <t>Weight</t>
  </si>
  <si>
    <t>Amount Invested</t>
  </si>
  <si>
    <t>Stock Name</t>
  </si>
  <si>
    <t>Portfolio Weights</t>
  </si>
  <si>
    <t>Instructions:</t>
  </si>
  <si>
    <t>Calculation of Historical VaR (also called Historical Simulation Method)</t>
  </si>
  <si>
    <t>NEED TO FOLLOW THE INSTRUCTIONS AND DO NECESSARY CALCULATIONS</t>
  </si>
  <si>
    <t>DO NOT COPY FROM OTHERS; PLEASE DO INDEPENDENT WORK</t>
  </si>
  <si>
    <t>5) Calculate the log returns in cells I15:M264; extend as necessary; HOPE YOU KNOW HOW TO CALCULATE LOG RETURNS?!</t>
  </si>
  <si>
    <t>PLEASE NOTE THIS IS ONLY A BROAD TEMPLATE WITH DETAILED INSTRUCTIONS; YOU WILL</t>
  </si>
  <si>
    <t>Nestle_India</t>
  </si>
  <si>
    <t>Pidilite_Industries</t>
  </si>
  <si>
    <t>Divis_Laboratories</t>
  </si>
  <si>
    <t>Bosch</t>
  </si>
  <si>
    <t>UltraTech_Cement</t>
  </si>
  <si>
    <t>Portfolio PnL</t>
  </si>
  <si>
    <t>St. Dev.</t>
  </si>
  <si>
    <t>Variance</t>
  </si>
  <si>
    <t>Weight(w)</t>
  </si>
  <si>
    <t>Portfolio Variance</t>
  </si>
  <si>
    <t>Weight T</t>
  </si>
  <si>
    <t>Σ</t>
  </si>
  <si>
    <t>Portfolio Std. Dev</t>
  </si>
  <si>
    <t>Parametric VaR:</t>
  </si>
  <si>
    <t>Z-Score</t>
  </si>
  <si>
    <t>Mean daily return</t>
  </si>
  <si>
    <t>Portfolio Value</t>
  </si>
  <si>
    <t>HS VaR:</t>
  </si>
  <si>
    <t>HS VaR Rs</t>
  </si>
  <si>
    <t>HS VaR %</t>
  </si>
  <si>
    <t>Par. VaR %</t>
  </si>
  <si>
    <t>Par. VaR Rs</t>
  </si>
  <si>
    <t>Calculation of Parametric VaR (also called Delta-Normal Method)</t>
  </si>
  <si>
    <t>Variance-Covariance Matrix</t>
  </si>
  <si>
    <t>Portfolio Value at Risk (VaR) Analysis</t>
  </si>
  <si>
    <t>Portfolio Composition &amp; Assumptions</t>
  </si>
  <si>
    <t>Asset</t>
  </si>
  <si>
    <t>Allocated Value (Rs)</t>
  </si>
  <si>
    <t>Latest Price (Rs)</t>
  </si>
  <si>
    <t>Units Held</t>
  </si>
  <si>
    <t>Nestle India</t>
  </si>
  <si>
    <t>Pidilite Industries</t>
  </si>
  <si>
    <t>Divi's Laboratories</t>
  </si>
  <si>
    <t>Bosch Ltd</t>
  </si>
  <si>
    <t>UltraTech Cement</t>
  </si>
  <si>
    <t>Total Weight / Total Allocated Value (Rs)</t>
  </si>
  <si>
    <t>Portfolio Value Input (Rs)</t>
  </si>
  <si>
    <t>Confidence Level 1 (1-tail)</t>
  </si>
  <si>
    <t>Confidence Level 2 (1-tail)</t>
  </si>
  <si>
    <t>Holding Period 1 (days)</t>
  </si>
  <si>
    <t>Holding Period 2 (days)</t>
  </si>
  <si>
    <t>Z-score @ Confidence Level 1</t>
  </si>
  <si>
    <t>Z-score @ Confidence Level 2</t>
  </si>
  <si>
    <t>Number of daily return observations</t>
  </si>
  <si>
    <t>1. HISTORICAL SIMULATION VaR (Portfolio)</t>
  </si>
  <si>
    <t>Description</t>
  </si>
  <si>
    <t>Value</t>
  </si>
  <si>
    <t>Mean daily portfolio return</t>
  </si>
  <si>
    <t>Std Dev of daily portfolio return</t>
  </si>
  <si>
    <t>Worst-case percentile return @ Confidence 1 (5th pctile)</t>
  </si>
  <si>
    <t>Worst-case percentile return @ Confidence 2 (1st pctile)</t>
  </si>
  <si>
    <t>Historical VaR @ Confidence 1, 1-day (Rs)</t>
  </si>
  <si>
    <t>Historical VaR @ Confidence 2, 1-day (Rs)</t>
  </si>
  <si>
    <t>Historical VaR @ Confidence 1, 10-day (Rs)</t>
  </si>
  <si>
    <t>Historical VaR @ Confidence 2, 10-day (Rs)</t>
  </si>
  <si>
    <t>2. PARAMETRIC (VARIANCE-COVARIANCE) VaR (Portfolio)</t>
  </si>
  <si>
    <t>Portfolio daily variance (w' Sigma w)</t>
  </si>
  <si>
    <t>Portfolio daily Std Dev (sigma_p)</t>
  </si>
  <si>
    <t>Parametric VaR @ Confidence 1, 1-day (Rs)</t>
  </si>
  <si>
    <t>Parametric VaR @ Confidence 2, 1-day (Rs)</t>
  </si>
  <si>
    <t>Parametric VaR @ Confidence 1, 10-day (Rs)</t>
  </si>
  <si>
    <t>Parametric VaR @ Confidence 2, 10-day (Rs)</t>
  </si>
  <si>
    <t>3. STANDALONE (UNDIVERSIFIED) VaR BY ASSET, 1-day</t>
  </si>
  <si>
    <t>Daily Std Dev</t>
  </si>
  <si>
    <t>Hist. VaR @ Conf.1 (Rs)</t>
  </si>
  <si>
    <t>Hist. VaR @ Conf.2 (Rs)</t>
  </si>
  <si>
    <t>Param. VaR @ Conf.1 (Rs)</t>
  </si>
  <si>
    <t>Param. VaR @ Conf.2 (Rs)</t>
  </si>
  <si>
    <t>Sum of Standalone VaR</t>
  </si>
  <si>
    <t>4. DIVERSIFICATION BENEFIT (Parametric, Confidence 1)</t>
  </si>
  <si>
    <t>Sum of standalone parametric VaR @ Confidence 1 (Rs)</t>
  </si>
  <si>
    <t>Diversified portfolio parametric VaR @ Confidence 1 (Rs)</t>
  </si>
  <si>
    <t>Diversification benefit (Rs)</t>
  </si>
  <si>
    <t>Diversification benefit (%)</t>
  </si>
  <si>
    <t>Frequency</t>
  </si>
  <si>
    <t>Bin</t>
  </si>
  <si>
    <t>Normal Curve</t>
  </si>
  <si>
    <t>Portfolio Value (Rs)</t>
  </si>
  <si>
    <t>Baseline</t>
  </si>
  <si>
    <t>NA</t>
  </si>
  <si>
    <t>S&amp;P Asia Pacific Emerging BMI Pharmaceuticals, Biotechnology &amp; Life Sciences (Ind Group) Index-Index Value (Daily)(%)</t>
  </si>
  <si>
    <t>DIVISLAB-Volume (Daily)</t>
  </si>
  <si>
    <t>DIVISLAB-Share Price (Daily)(%)</t>
  </si>
  <si>
    <t>Pricing Date</t>
  </si>
  <si>
    <t>-6.99</t>
  </si>
  <si>
    <t>2.80</t>
  </si>
  <si>
    <t>-9.07</t>
  </si>
  <si>
    <t>14.30</t>
  </si>
  <si>
    <t>Market Data</t>
  </si>
  <si>
    <t>S&amp;P Asia Pacific Emerging BMI Pharmaceuticals, Biotechnology &amp; Life Sciences (Ind Group) Index-Index Value (Daily)</t>
  </si>
  <si>
    <t>-268,620.00 | -62.26%</t>
  </si>
  <si>
    <t>367,040.87</t>
  </si>
  <si>
    <t>32,977.00</t>
  </si>
  <si>
    <t>1.93M</t>
  </si>
  <si>
    <t>-1.29</t>
  </si>
  <si>
    <t>-5.15</t>
  </si>
  <si>
    <t>-15.40</t>
  </si>
  <si>
    <t>3.84</t>
  </si>
  <si>
    <t>DIVISLAB-Share Price (Daily)</t>
  </si>
  <si>
    <t>CHANGE</t>
  </si>
  <si>
    <t>AVERAGE</t>
  </si>
  <si>
    <t>LOW</t>
  </si>
  <si>
    <t>HIGH</t>
  </si>
  <si>
    <t>CATEGORY</t>
  </si>
  <si>
    <t>SERIES NAME</t>
  </si>
  <si>
    <t>Metrics: Share Price, Volume</t>
  </si>
  <si>
    <t>Entities: Divi's Laboratories Ltd., S&amp;P Asia Pacific Emerging BMI Pharmaceuticals, Biotechnology &amp; Life Sciences (Ind Group) Index</t>
  </si>
  <si>
    <t>NSEI:DIVISLAB (MI Key: 4810902; SPCIQ  Key: 9249099)</t>
  </si>
  <si>
    <t>Divi's Laboratories Limited | Stock Chart</t>
  </si>
  <si>
    <t>S&amp;P Asia Pacific Emerging BMI Materials (Industry Group) Index-Index Value (Daily)(%)</t>
  </si>
  <si>
    <t>PIDILITIND-Volume (Daily)</t>
  </si>
  <si>
    <t>PIDILITIND-Share Price (Daily)(%)</t>
  </si>
  <si>
    <t>21.53</t>
  </si>
  <si>
    <t>17.33</t>
  </si>
  <si>
    <t>-3.17</t>
  </si>
  <si>
    <t>35.97</t>
  </si>
  <si>
    <t>S&amp;P Asia Pacific Emerging BMI Materials (Industry Group) Index-Index Value (Daily)</t>
  </si>
  <si>
    <t>487,271.00 | 63.53%</t>
  </si>
  <si>
    <t>705,716.69</t>
  </si>
  <si>
    <t>62,310.00</t>
  </si>
  <si>
    <t>5.49M</t>
  </si>
  <si>
    <t>0.79</t>
  </si>
  <si>
    <t>-3.62</t>
  </si>
  <si>
    <t>-16.40</t>
  </si>
  <si>
    <t>2.63</t>
  </si>
  <si>
    <t>PIDILITIND-Share Price (Daily)</t>
  </si>
  <si>
    <t>Entities: Pidilite Industries Ltd., S&amp;P Asia Pacific Emerging BMI Materials (Industry Group) Index</t>
  </si>
  <si>
    <t>NSEI:PIDILITIND (MI Key: 4986006; SPCIQ  Key: 878761)</t>
  </si>
  <si>
    <t>Pidilite Industries Limited | Stock Chart</t>
  </si>
  <si>
    <t>ULTRACEMCO-Volume (Daily)</t>
  </si>
  <si>
    <t>ULTRACEMCO-Share Price (Daily)(%)</t>
  </si>
  <si>
    <t>11,169.00 | 6.16%</t>
  </si>
  <si>
    <t>282,903.62</t>
  </si>
  <si>
    <t>14,465.00</t>
  </si>
  <si>
    <t>1.78M</t>
  </si>
  <si>
    <t>-1.82</t>
  </si>
  <si>
    <t>5.98</t>
  </si>
  <si>
    <t>-8.49</t>
  </si>
  <si>
    <t>15.27</t>
  </si>
  <si>
    <t>ULTRACEMCO-Share Price (Daily)</t>
  </si>
  <si>
    <t>Entities: UltraTech Cement Ltd., S&amp;P Asia Pacific Emerging BMI Materials (Industry Group) Index</t>
  </si>
  <si>
    <t>NSEI:ULTRACEMCO (MI Key: 4982273; SPCIQ  Key: 13192517)</t>
  </si>
  <si>
    <t>UltraTech Cement Limited | Stock Chart</t>
  </si>
  <si>
    <t>S&amp;P Asia Pacific Emerging BMI Consumer Staples (Sector) Index-Index Value (Daily)(%)</t>
  </si>
  <si>
    <t>500790-Volume (Daily)</t>
  </si>
  <si>
    <t>500790-Share Price (Daily)(%)</t>
  </si>
  <si>
    <t>8,758.00 | 8.81%</t>
  </si>
  <si>
    <t>72,552.63</t>
  </si>
  <si>
    <t>3,712.00</t>
  </si>
  <si>
    <t>951,340.00</t>
  </si>
  <si>
    <t>-178.82 | -34.93%</t>
  </si>
  <si>
    <t>408.73</t>
  </si>
  <si>
    <t>326.93</t>
  </si>
  <si>
    <t>552.90</t>
  </si>
  <si>
    <t>S&amp;P Asia Pacific Emerging BMI Consumer Staples (Sector) Index-Index Value (Daily)</t>
  </si>
  <si>
    <t>456.23 | 49.61%</t>
  </si>
  <si>
    <t>1,090.44</t>
  </si>
  <si>
    <t>804.89</t>
  </si>
  <si>
    <t>1,486.40</t>
  </si>
  <si>
    <t>500790-Share Price (Daily)</t>
  </si>
  <si>
    <t>Entities: Nestlé India Ltd., S&amp;P Asia Pacific Emerging BMI Consumer Staples (Sector) Index</t>
  </si>
  <si>
    <t>BSE:500790 (MI Key: 4913237; SPCIQ  Key: 877826)</t>
  </si>
  <si>
    <t>500530-Volume (Daily)</t>
  </si>
  <si>
    <t>500530-Share Price (Daily)(%)</t>
  </si>
  <si>
    <t>-12.26</t>
  </si>
  <si>
    <t>-1.98</t>
  </si>
  <si>
    <t>-13.90</t>
  </si>
  <si>
    <t>5.72</t>
  </si>
  <si>
    <t>3,764.00 | 1,767.14%</t>
  </si>
  <si>
    <t>1,438.99</t>
  </si>
  <si>
    <t>69.00</t>
  </si>
  <si>
    <t>16,226.00</t>
  </si>
  <si>
    <t>23.93</t>
  </si>
  <si>
    <t>16.38</t>
  </si>
  <si>
    <t>-8.82</t>
  </si>
  <si>
    <t>31.69</t>
  </si>
  <si>
    <t>500530-Share Price (Daily)</t>
  </si>
  <si>
    <t>Entities: Bosch Ltd., S&amp;P Asia Pacific Emerging BMI Consumer Staples (Sector) Index</t>
  </si>
  <si>
    <t>BSE:500530 (MI Key: 4911941; SPCIQ  Key: 9830297)</t>
  </si>
  <si>
    <t>Bosch Limited | Stock Chart</t>
  </si>
  <si>
    <t>Bseline Price</t>
  </si>
  <si>
    <t xml:space="preserve"> </t>
  </si>
  <si>
    <t>Asset  </t>
  </si>
  <si>
    <t>Standalone VaR 95% (Rs)</t>
  </si>
  <si>
    <t>Param VaR 95% if diversified</t>
  </si>
  <si>
    <t>Portfolio (diversified)</t>
  </si>
  <si>
    <t>Rolling VaR 95% (Rs)</t>
  </si>
  <si>
    <t>Rolling VaR 99%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</si>
</sst>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#,##0.00;\(#,##0.00\)"/>
    <numFmt numFmtId="166" formatCode="yyyy\-mm\-dd\ hh:mm:ss"/>
    <numFmt numFmtId="167" formatCode="0.000%"/>
    <numFmt numFmtId="168" formatCode="&quot;₹&quot;\ #,##0.00"/>
    <numFmt numFmtId="169" formatCode="0.000"/>
    <numFmt numFmtId="170" formatCode="0.0%"/>
    <numFmt numFmtId="171" formatCode="0.0000%"/>
    <numFmt numFmtId="172" formatCode="0.00000%"/>
    <numFmt numFmtId="173" formatCode="#,##0;\(#,##0\)"/>
    <numFmt numFmtId="174" formatCode="m/d/yyyy"/>
  </numFmts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sz val="11"/>
      <color rgb="FF008000"/>
      <name val="Cambria"/>
      <family val="1"/>
    </font>
    <font>
      <b/>
      <sz val="12"/>
      <color rgb="FF1F4E78"/>
      <name val="Cambria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9"/>
      <color rgb="FF212121"/>
      <name val="Arial"/>
      <family val="2"/>
    </font>
    <font>
      <sz val="9"/>
      <color rgb="FFFF0000"/>
      <name val="Courier New"/>
      <family val="3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CCCCCC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0" borderId="0" xfId="0" applyFont="1"/>
    <xf numFmtId="0" fontId="0" fillId="0" borderId="3" xfId="0" applyBorder="1"/>
    <xf numFmtId="0" fontId="3" fillId="0" borderId="3" xfId="0" applyFont="1" applyBorder="1"/>
    <xf numFmtId="0" fontId="3" fillId="2" borderId="3" xfId="0" applyFont="1" applyFill="1" applyBorder="1"/>
    <xf numFmtId="0" fontId="0" fillId="2" borderId="3" xfId="0" applyFill="1" applyBorder="1"/>
    <xf numFmtId="164" fontId="0" fillId="0" borderId="3" xfId="0" applyNumberFormat="1" applyBorder="1"/>
    <xf numFmtId="2" fontId="0" fillId="0" borderId="3" xfId="0" applyNumberFormat="1" applyBorder="1"/>
    <xf numFmtId="10" fontId="0" fillId="0" borderId="3" xfId="1" applyNumberFormat="1" applyFont="1" applyBorder="1"/>
    <xf numFmtId="168" fontId="0" fillId="0" borderId="1" xfId="0" applyNumberFormat="1" applyBorder="1"/>
    <xf numFmtId="10" fontId="0" fillId="2" borderId="3" xfId="0" applyNumberFormat="1" applyFill="1" applyBorder="1"/>
    <xf numFmtId="0" fontId="0" fillId="2" borderId="4" xfId="0" applyFill="1" applyBorder="1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0" borderId="0" xfId="0" applyAlignment="1">
      <alignment horizontal="center"/>
    </xf>
    <xf numFmtId="167" fontId="0" fillId="0" borderId="3" xfId="1" applyNumberFormat="1" applyFont="1" applyBorder="1"/>
    <xf numFmtId="44" fontId="0" fillId="2" borderId="3" xfId="0" applyNumberFormat="1" applyFill="1" applyBorder="1"/>
    <xf numFmtId="164" fontId="0" fillId="2" borderId="3" xfId="0" applyNumberFormat="1" applyFill="1" applyBorder="1"/>
    <xf numFmtId="167" fontId="0" fillId="2" borderId="3" xfId="0" applyNumberFormat="1" applyFill="1" applyBorder="1"/>
    <xf numFmtId="44" fontId="0" fillId="0" borderId="0" xfId="0" applyNumberFormat="1"/>
    <xf numFmtId="10" fontId="0" fillId="0" borderId="0" xfId="0" applyNumberFormat="1"/>
    <xf numFmtId="0" fontId="0" fillId="0" borderId="8" xfId="0" applyBorder="1"/>
    <xf numFmtId="0" fontId="4" fillId="0" borderId="8" xfId="0" applyFont="1" applyBorder="1"/>
    <xf numFmtId="0" fontId="0" fillId="2" borderId="9" xfId="0" applyFill="1" applyBorder="1"/>
    <xf numFmtId="164" fontId="0" fillId="0" borderId="10" xfId="0" applyNumberFormat="1" applyBorder="1"/>
    <xf numFmtId="10" fontId="0" fillId="0" borderId="11" xfId="0" applyNumberFormat="1" applyBorder="1"/>
    <xf numFmtId="169" fontId="0" fillId="0" borderId="12" xfId="0" applyNumberFormat="1" applyBorder="1"/>
    <xf numFmtId="167" fontId="0" fillId="0" borderId="12" xfId="1" applyNumberFormat="1" applyFont="1" applyBorder="1"/>
    <xf numFmtId="164" fontId="0" fillId="0" borderId="13" xfId="0" applyNumberFormat="1" applyBorder="1"/>
    <xf numFmtId="0" fontId="0" fillId="0" borderId="4" xfId="0" applyBorder="1"/>
    <xf numFmtId="0" fontId="0" fillId="0" borderId="14" xfId="0" applyBorder="1"/>
    <xf numFmtId="0" fontId="7" fillId="4" borderId="15" xfId="0" applyFont="1" applyFill="1" applyBorder="1" applyAlignment="1">
      <alignment horizontal="center"/>
    </xf>
    <xf numFmtId="0" fontId="0" fillId="0" borderId="15" xfId="0" applyBorder="1"/>
    <xf numFmtId="9" fontId="8" fillId="0" borderId="15" xfId="0" applyNumberFormat="1" applyFont="1" applyBorder="1"/>
    <xf numFmtId="3" fontId="0" fillId="0" borderId="15" xfId="0" applyNumberFormat="1" applyBorder="1"/>
    <xf numFmtId="4" fontId="9" fillId="0" borderId="15" xfId="0" applyNumberFormat="1" applyFont="1" applyBorder="1"/>
    <xf numFmtId="4" fontId="0" fillId="0" borderId="15" xfId="0" applyNumberFormat="1" applyBorder="1"/>
    <xf numFmtId="0" fontId="6" fillId="0" borderId="15" xfId="0" applyFont="1" applyBorder="1"/>
    <xf numFmtId="9" fontId="0" fillId="0" borderId="15" xfId="0" applyNumberFormat="1" applyBorder="1"/>
    <xf numFmtId="3" fontId="6" fillId="0" borderId="15" xfId="0" applyNumberFormat="1" applyFont="1" applyBorder="1"/>
    <xf numFmtId="3" fontId="8" fillId="3" borderId="15" xfId="0" applyNumberFormat="1" applyFont="1" applyFill="1" applyBorder="1"/>
    <xf numFmtId="0" fontId="8" fillId="0" borderId="15" xfId="0" applyFont="1" applyBorder="1"/>
    <xf numFmtId="169" fontId="0" fillId="0" borderId="15" xfId="0" applyNumberFormat="1" applyBorder="1"/>
    <xf numFmtId="0" fontId="7" fillId="4" borderId="15" xfId="0" applyFont="1" applyFill="1" applyBorder="1"/>
    <xf numFmtId="171" fontId="0" fillId="0" borderId="15" xfId="0" applyNumberFormat="1" applyBorder="1"/>
    <xf numFmtId="3" fontId="6" fillId="3" borderId="15" xfId="0" applyNumberFormat="1" applyFont="1" applyFill="1" applyBorder="1"/>
    <xf numFmtId="172" fontId="0" fillId="0" borderId="15" xfId="0" applyNumberFormat="1" applyBorder="1"/>
    <xf numFmtId="171" fontId="0" fillId="0" borderId="3" xfId="1" applyNumberFormat="1" applyFont="1" applyBorder="1"/>
    <xf numFmtId="10" fontId="0" fillId="0" borderId="15" xfId="0" applyNumberFormat="1" applyBorder="1"/>
    <xf numFmtId="170" fontId="0" fillId="0" borderId="15" xfId="0" applyNumberFormat="1" applyBorder="1"/>
    <xf numFmtId="171" fontId="0" fillId="0" borderId="6" xfId="1" applyNumberFormat="1" applyFont="1" applyBorder="1"/>
    <xf numFmtId="171" fontId="0" fillId="0" borderId="5" xfId="1" applyNumberFormat="1" applyFont="1" applyBorder="1"/>
    <xf numFmtId="14" fontId="0" fillId="0" borderId="0" xfId="0" applyNumberFormat="1"/>
    <xf numFmtId="0" fontId="11" fillId="0" borderId="0" xfId="0" applyFont="1"/>
    <xf numFmtId="0" fontId="1" fillId="0" borderId="0" xfId="0" applyFont="1"/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 wrapText="1"/>
    </xf>
    <xf numFmtId="173" fontId="1" fillId="0" borderId="0" xfId="0" applyNumberFormat="1" applyFont="1" applyAlignment="1">
      <alignment horizontal="right" vertical="top" wrapText="1"/>
    </xf>
    <xf numFmtId="17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4" fillId="5" borderId="0" xfId="0" applyFont="1" applyFill="1" applyAlignment="1">
      <alignment horizontal="left" vertical="top"/>
    </xf>
    <xf numFmtId="0" fontId="15" fillId="0" borderId="0" xfId="0" applyFont="1"/>
    <xf numFmtId="0" fontId="15" fillId="0" borderId="0" xfId="0" applyFont="1" applyAlignment="1">
      <alignment horizontal="left"/>
    </xf>
    <xf numFmtId="2" fontId="0" fillId="0" borderId="4" xfId="0" applyNumberFormat="1" applyBorder="1"/>
    <xf numFmtId="166" fontId="0" fillId="0" borderId="0" xfId="0" applyNumberFormat="1"/>
    <xf numFmtId="2" fontId="0" fillId="0" borderId="0" xfId="0" applyNumberFormat="1"/>
    <xf numFmtId="10" fontId="0" fillId="0" borderId="0" xfId="1" applyNumberFormat="1" applyFont="1" applyBorder="1"/>
    <xf numFmtId="164" fontId="0" fillId="0" borderId="0" xfId="0" applyNumberFormat="1"/>
    <xf numFmtId="165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174" fontId="1" fillId="0" borderId="3" xfId="0" applyNumberFormat="1" applyFont="1" applyBorder="1" applyAlignment="1">
      <alignment horizontal="left" vertical="top" wrapText="1"/>
    </xf>
    <xf numFmtId="4" fontId="13" fillId="0" borderId="3" xfId="0" applyNumberFormat="1" applyFont="1" applyBorder="1"/>
    <xf numFmtId="3" fontId="0" fillId="0" borderId="0" xfId="0" applyNumberFormat="1"/>
    <xf numFmtId="0" fontId="12" fillId="0" borderId="16" xfId="0" applyFont="1" applyBorder="1"/>
    <xf numFmtId="3" fontId="0" fillId="0" borderId="16" xfId="0" applyNumberForma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15" xfId="0" applyFont="1" applyBorder="1"/>
    <xf numFmtId="0" fontId="5" fillId="0" borderId="0" xfId="0" applyFont="1"/>
    <xf numFmtId="0" fontId="6" fillId="3" borderId="15" xfId="0" applyFont="1" applyFill="1" applyBorder="1"/>
    <xf numFmtId="0" fontId="10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Portfolio Value (Rs)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Charts!$F$1</c:f>
              <c:strCache>
                <c:ptCount val="1"/>
                <c:pt idx="0">
                  <c:v>Portfolio Value (Rs)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Charts!$E$2:$E$1239</c:f>
              <c:numCache>
                <c:formatCode>m/d/yyyy</c:formatCode>
                <c:ptCount val="1238"/>
                <c:pt idx="0">
                  <c:v>46185</c:v>
                </c:pt>
                <c:pt idx="1">
                  <c:v>46184</c:v>
                </c:pt>
                <c:pt idx="2">
                  <c:v>46183</c:v>
                </c:pt>
                <c:pt idx="3">
                  <c:v>46182</c:v>
                </c:pt>
                <c:pt idx="4">
                  <c:v>46181</c:v>
                </c:pt>
                <c:pt idx="5">
                  <c:v>46178</c:v>
                </c:pt>
                <c:pt idx="6">
                  <c:v>46177</c:v>
                </c:pt>
                <c:pt idx="7">
                  <c:v>46176</c:v>
                </c:pt>
                <c:pt idx="8">
                  <c:v>46175</c:v>
                </c:pt>
                <c:pt idx="9">
                  <c:v>46174</c:v>
                </c:pt>
                <c:pt idx="10">
                  <c:v>46171</c:v>
                </c:pt>
                <c:pt idx="11">
                  <c:v>46169</c:v>
                </c:pt>
                <c:pt idx="12">
                  <c:v>46168</c:v>
                </c:pt>
                <c:pt idx="13">
                  <c:v>46167</c:v>
                </c:pt>
                <c:pt idx="14">
                  <c:v>46164</c:v>
                </c:pt>
                <c:pt idx="15">
                  <c:v>46163</c:v>
                </c:pt>
                <c:pt idx="16">
                  <c:v>46162</c:v>
                </c:pt>
                <c:pt idx="17">
                  <c:v>46161</c:v>
                </c:pt>
                <c:pt idx="18">
                  <c:v>46160</c:v>
                </c:pt>
                <c:pt idx="19">
                  <c:v>46157</c:v>
                </c:pt>
                <c:pt idx="20">
                  <c:v>46156</c:v>
                </c:pt>
                <c:pt idx="21">
                  <c:v>46155</c:v>
                </c:pt>
                <c:pt idx="22">
                  <c:v>46154</c:v>
                </c:pt>
                <c:pt idx="23">
                  <c:v>46153</c:v>
                </c:pt>
                <c:pt idx="24">
                  <c:v>46150</c:v>
                </c:pt>
                <c:pt idx="25">
                  <c:v>46149</c:v>
                </c:pt>
                <c:pt idx="26">
                  <c:v>46148</c:v>
                </c:pt>
                <c:pt idx="27">
                  <c:v>46147</c:v>
                </c:pt>
                <c:pt idx="28">
                  <c:v>46146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46125</c:v>
                </c:pt>
                <c:pt idx="42">
                  <c:v>46122</c:v>
                </c:pt>
                <c:pt idx="43">
                  <c:v>46121</c:v>
                </c:pt>
                <c:pt idx="44">
                  <c:v>46120</c:v>
                </c:pt>
                <c:pt idx="45">
                  <c:v>46119</c:v>
                </c:pt>
                <c:pt idx="46">
                  <c:v>46118</c:v>
                </c:pt>
                <c:pt idx="47">
                  <c:v>46114</c:v>
                </c:pt>
                <c:pt idx="48">
                  <c:v>46113</c:v>
                </c:pt>
                <c:pt idx="49">
                  <c:v>46111</c:v>
                </c:pt>
                <c:pt idx="50">
                  <c:v>46108</c:v>
                </c:pt>
                <c:pt idx="51">
                  <c:v>46106</c:v>
                </c:pt>
                <c:pt idx="52">
                  <c:v>46105</c:v>
                </c:pt>
                <c:pt idx="53">
                  <c:v>46104</c:v>
                </c:pt>
                <c:pt idx="54">
                  <c:v>46101</c:v>
                </c:pt>
                <c:pt idx="55">
                  <c:v>46100</c:v>
                </c:pt>
                <c:pt idx="56">
                  <c:v>46099</c:v>
                </c:pt>
                <c:pt idx="57">
                  <c:v>46098</c:v>
                </c:pt>
                <c:pt idx="58">
                  <c:v>46097</c:v>
                </c:pt>
                <c:pt idx="59">
                  <c:v>46094</c:v>
                </c:pt>
                <c:pt idx="60">
                  <c:v>46093</c:v>
                </c:pt>
                <c:pt idx="61">
                  <c:v>46092</c:v>
                </c:pt>
                <c:pt idx="62">
                  <c:v>46091</c:v>
                </c:pt>
                <c:pt idx="63">
                  <c:v>46090</c:v>
                </c:pt>
                <c:pt idx="64">
                  <c:v>46087</c:v>
                </c:pt>
                <c:pt idx="65">
                  <c:v>46086</c:v>
                </c:pt>
                <c:pt idx="66">
                  <c:v>46085</c:v>
                </c:pt>
                <c:pt idx="67">
                  <c:v>46083</c:v>
                </c:pt>
                <c:pt idx="68">
                  <c:v>46080</c:v>
                </c:pt>
                <c:pt idx="69">
                  <c:v>46079</c:v>
                </c:pt>
                <c:pt idx="70">
                  <c:v>46078</c:v>
                </c:pt>
                <c:pt idx="71">
                  <c:v>46077</c:v>
                </c:pt>
                <c:pt idx="72">
                  <c:v>46076</c:v>
                </c:pt>
                <c:pt idx="73">
                  <c:v>46073</c:v>
                </c:pt>
                <c:pt idx="74">
                  <c:v>46072</c:v>
                </c:pt>
                <c:pt idx="75">
                  <c:v>46071</c:v>
                </c:pt>
                <c:pt idx="76">
                  <c:v>46070</c:v>
                </c:pt>
                <c:pt idx="77">
                  <c:v>46069</c:v>
                </c:pt>
                <c:pt idx="78">
                  <c:v>46066</c:v>
                </c:pt>
                <c:pt idx="79">
                  <c:v>46065</c:v>
                </c:pt>
                <c:pt idx="80">
                  <c:v>46064</c:v>
                </c:pt>
                <c:pt idx="81">
                  <c:v>46063</c:v>
                </c:pt>
                <c:pt idx="82">
                  <c:v>46062</c:v>
                </c:pt>
                <c:pt idx="83">
                  <c:v>46059</c:v>
                </c:pt>
                <c:pt idx="84">
                  <c:v>46058</c:v>
                </c:pt>
                <c:pt idx="85">
                  <c:v>46057</c:v>
                </c:pt>
                <c:pt idx="86">
                  <c:v>46056</c:v>
                </c:pt>
                <c:pt idx="87">
                  <c:v>46055</c:v>
                </c:pt>
                <c:pt idx="88">
                  <c:v>46054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46045</c:v>
                </c:pt>
                <c:pt idx="94">
                  <c:v>46044</c:v>
                </c:pt>
                <c:pt idx="95">
                  <c:v>46043</c:v>
                </c:pt>
                <c:pt idx="96">
                  <c:v>46042</c:v>
                </c:pt>
                <c:pt idx="97">
                  <c:v>46041</c:v>
                </c:pt>
                <c:pt idx="98">
                  <c:v>46038</c:v>
                </c:pt>
                <c:pt idx="99">
                  <c:v>46036</c:v>
                </c:pt>
                <c:pt idx="100">
                  <c:v>46035</c:v>
                </c:pt>
                <c:pt idx="101">
                  <c:v>46034</c:v>
                </c:pt>
                <c:pt idx="102">
                  <c:v>46031</c:v>
                </c:pt>
                <c:pt idx="103">
                  <c:v>46030</c:v>
                </c:pt>
                <c:pt idx="104">
                  <c:v>46029</c:v>
                </c:pt>
                <c:pt idx="105">
                  <c:v>46028</c:v>
                </c:pt>
                <c:pt idx="106">
                  <c:v>46027</c:v>
                </c:pt>
                <c:pt idx="107">
                  <c:v>46024</c:v>
                </c:pt>
                <c:pt idx="108">
                  <c:v>46023</c:v>
                </c:pt>
                <c:pt idx="109">
                  <c:v>46022</c:v>
                </c:pt>
                <c:pt idx="110">
                  <c:v>46021</c:v>
                </c:pt>
                <c:pt idx="111">
                  <c:v>46020</c:v>
                </c:pt>
                <c:pt idx="112">
                  <c:v>46017</c:v>
                </c:pt>
                <c:pt idx="113">
                  <c:v>46015</c:v>
                </c:pt>
                <c:pt idx="114">
                  <c:v>46014</c:v>
                </c:pt>
                <c:pt idx="115">
                  <c:v>46013</c:v>
                </c:pt>
                <c:pt idx="116">
                  <c:v>46010</c:v>
                </c:pt>
                <c:pt idx="117">
                  <c:v>46009</c:v>
                </c:pt>
                <c:pt idx="118">
                  <c:v>46008</c:v>
                </c:pt>
                <c:pt idx="119">
                  <c:v>46007</c:v>
                </c:pt>
                <c:pt idx="120">
                  <c:v>46006</c:v>
                </c:pt>
                <c:pt idx="121">
                  <c:v>46003</c:v>
                </c:pt>
                <c:pt idx="122">
                  <c:v>46002</c:v>
                </c:pt>
                <c:pt idx="123">
                  <c:v>46001</c:v>
                </c:pt>
                <c:pt idx="124">
                  <c:v>46000</c:v>
                </c:pt>
                <c:pt idx="125">
                  <c:v>45999</c:v>
                </c:pt>
                <c:pt idx="126">
                  <c:v>45996</c:v>
                </c:pt>
                <c:pt idx="127">
                  <c:v>45995</c:v>
                </c:pt>
                <c:pt idx="128">
                  <c:v>45994</c:v>
                </c:pt>
                <c:pt idx="129">
                  <c:v>45993</c:v>
                </c:pt>
                <c:pt idx="130">
                  <c:v>45992</c:v>
                </c:pt>
                <c:pt idx="131">
                  <c:v>45989</c:v>
                </c:pt>
                <c:pt idx="132">
                  <c:v>45988</c:v>
                </c:pt>
                <c:pt idx="133">
                  <c:v>45987</c:v>
                </c:pt>
                <c:pt idx="134">
                  <c:v>45986</c:v>
                </c:pt>
                <c:pt idx="135">
                  <c:v>45985</c:v>
                </c:pt>
                <c:pt idx="136">
                  <c:v>45982</c:v>
                </c:pt>
                <c:pt idx="137">
                  <c:v>45981</c:v>
                </c:pt>
                <c:pt idx="138">
                  <c:v>45980</c:v>
                </c:pt>
                <c:pt idx="139">
                  <c:v>45979</c:v>
                </c:pt>
                <c:pt idx="140">
                  <c:v>45978</c:v>
                </c:pt>
                <c:pt idx="141">
                  <c:v>45975</c:v>
                </c:pt>
                <c:pt idx="142">
                  <c:v>45974</c:v>
                </c:pt>
                <c:pt idx="143">
                  <c:v>45973</c:v>
                </c:pt>
                <c:pt idx="144">
                  <c:v>45972</c:v>
                </c:pt>
                <c:pt idx="145">
                  <c:v>45971</c:v>
                </c:pt>
                <c:pt idx="146">
                  <c:v>45968</c:v>
                </c:pt>
                <c:pt idx="147">
                  <c:v>45967</c:v>
                </c:pt>
                <c:pt idx="148">
                  <c:v>45965</c:v>
                </c:pt>
                <c:pt idx="149">
                  <c:v>45964</c:v>
                </c:pt>
                <c:pt idx="150">
                  <c:v>45961</c:v>
                </c:pt>
                <c:pt idx="151">
                  <c:v>45960</c:v>
                </c:pt>
                <c:pt idx="152">
                  <c:v>45959</c:v>
                </c:pt>
                <c:pt idx="153">
                  <c:v>45958</c:v>
                </c:pt>
                <c:pt idx="154">
                  <c:v>45957</c:v>
                </c:pt>
                <c:pt idx="155">
                  <c:v>45954</c:v>
                </c:pt>
                <c:pt idx="156">
                  <c:v>45953</c:v>
                </c:pt>
                <c:pt idx="157">
                  <c:v>45951</c:v>
                </c:pt>
                <c:pt idx="158">
                  <c:v>45950</c:v>
                </c:pt>
                <c:pt idx="159">
                  <c:v>45947</c:v>
                </c:pt>
                <c:pt idx="160">
                  <c:v>45946</c:v>
                </c:pt>
                <c:pt idx="161">
                  <c:v>45945</c:v>
                </c:pt>
                <c:pt idx="162">
                  <c:v>45944</c:v>
                </c:pt>
                <c:pt idx="163">
                  <c:v>45943</c:v>
                </c:pt>
                <c:pt idx="164">
                  <c:v>45940</c:v>
                </c:pt>
                <c:pt idx="165">
                  <c:v>45939</c:v>
                </c:pt>
                <c:pt idx="166">
                  <c:v>45938</c:v>
                </c:pt>
                <c:pt idx="167">
                  <c:v>45937</c:v>
                </c:pt>
                <c:pt idx="168">
                  <c:v>45936</c:v>
                </c:pt>
                <c:pt idx="169">
                  <c:v>45933</c:v>
                </c:pt>
                <c:pt idx="170">
                  <c:v>45931</c:v>
                </c:pt>
                <c:pt idx="171">
                  <c:v>45930</c:v>
                </c:pt>
                <c:pt idx="172">
                  <c:v>45929</c:v>
                </c:pt>
                <c:pt idx="173">
                  <c:v>45926</c:v>
                </c:pt>
                <c:pt idx="174">
                  <c:v>45925</c:v>
                </c:pt>
                <c:pt idx="175">
                  <c:v>45924</c:v>
                </c:pt>
                <c:pt idx="176">
                  <c:v>45923</c:v>
                </c:pt>
                <c:pt idx="177">
                  <c:v>45922</c:v>
                </c:pt>
                <c:pt idx="178">
                  <c:v>45919</c:v>
                </c:pt>
                <c:pt idx="179">
                  <c:v>45918</c:v>
                </c:pt>
                <c:pt idx="180">
                  <c:v>45917</c:v>
                </c:pt>
                <c:pt idx="181">
                  <c:v>45916</c:v>
                </c:pt>
                <c:pt idx="182">
                  <c:v>45915</c:v>
                </c:pt>
                <c:pt idx="183">
                  <c:v>45912</c:v>
                </c:pt>
                <c:pt idx="184">
                  <c:v>45911</c:v>
                </c:pt>
                <c:pt idx="185">
                  <c:v>45910</c:v>
                </c:pt>
                <c:pt idx="186">
                  <c:v>45909</c:v>
                </c:pt>
                <c:pt idx="187">
                  <c:v>45908</c:v>
                </c:pt>
                <c:pt idx="188">
                  <c:v>45905</c:v>
                </c:pt>
                <c:pt idx="189">
                  <c:v>45904</c:v>
                </c:pt>
                <c:pt idx="190">
                  <c:v>45903</c:v>
                </c:pt>
                <c:pt idx="191">
                  <c:v>45902</c:v>
                </c:pt>
                <c:pt idx="192">
                  <c:v>45901</c:v>
                </c:pt>
                <c:pt idx="193">
                  <c:v>45898</c:v>
                </c:pt>
                <c:pt idx="194">
                  <c:v>45897</c:v>
                </c:pt>
                <c:pt idx="195">
                  <c:v>45895</c:v>
                </c:pt>
                <c:pt idx="196">
                  <c:v>45894</c:v>
                </c:pt>
                <c:pt idx="197">
                  <c:v>45891</c:v>
                </c:pt>
                <c:pt idx="198">
                  <c:v>45890</c:v>
                </c:pt>
                <c:pt idx="199">
                  <c:v>45889</c:v>
                </c:pt>
                <c:pt idx="200">
                  <c:v>45888</c:v>
                </c:pt>
                <c:pt idx="201">
                  <c:v>45887</c:v>
                </c:pt>
                <c:pt idx="202">
                  <c:v>45883</c:v>
                </c:pt>
                <c:pt idx="203">
                  <c:v>45882</c:v>
                </c:pt>
                <c:pt idx="204">
                  <c:v>45881</c:v>
                </c:pt>
                <c:pt idx="205">
                  <c:v>45880</c:v>
                </c:pt>
                <c:pt idx="206">
                  <c:v>45877</c:v>
                </c:pt>
                <c:pt idx="207">
                  <c:v>45876</c:v>
                </c:pt>
                <c:pt idx="208">
                  <c:v>45875</c:v>
                </c:pt>
                <c:pt idx="209">
                  <c:v>45874</c:v>
                </c:pt>
                <c:pt idx="210">
                  <c:v>45873</c:v>
                </c:pt>
                <c:pt idx="211">
                  <c:v>45870</c:v>
                </c:pt>
                <c:pt idx="212">
                  <c:v>45869</c:v>
                </c:pt>
                <c:pt idx="213">
                  <c:v>45868</c:v>
                </c:pt>
                <c:pt idx="214">
                  <c:v>45867</c:v>
                </c:pt>
                <c:pt idx="215">
                  <c:v>45866</c:v>
                </c:pt>
                <c:pt idx="216">
                  <c:v>45863</c:v>
                </c:pt>
                <c:pt idx="217">
                  <c:v>45862</c:v>
                </c:pt>
                <c:pt idx="218">
                  <c:v>45861</c:v>
                </c:pt>
                <c:pt idx="219">
                  <c:v>45860</c:v>
                </c:pt>
                <c:pt idx="220">
                  <c:v>45859</c:v>
                </c:pt>
                <c:pt idx="221">
                  <c:v>45856</c:v>
                </c:pt>
                <c:pt idx="222">
                  <c:v>45855</c:v>
                </c:pt>
                <c:pt idx="223">
                  <c:v>45854</c:v>
                </c:pt>
                <c:pt idx="224">
                  <c:v>45853</c:v>
                </c:pt>
                <c:pt idx="225">
                  <c:v>45852</c:v>
                </c:pt>
                <c:pt idx="226">
                  <c:v>45849</c:v>
                </c:pt>
                <c:pt idx="227">
                  <c:v>45848</c:v>
                </c:pt>
                <c:pt idx="228">
                  <c:v>45847</c:v>
                </c:pt>
                <c:pt idx="229">
                  <c:v>45846</c:v>
                </c:pt>
                <c:pt idx="230">
                  <c:v>45845</c:v>
                </c:pt>
                <c:pt idx="231">
                  <c:v>45842</c:v>
                </c:pt>
                <c:pt idx="232">
                  <c:v>45841</c:v>
                </c:pt>
                <c:pt idx="233">
                  <c:v>45840</c:v>
                </c:pt>
                <c:pt idx="234">
                  <c:v>45839</c:v>
                </c:pt>
                <c:pt idx="235">
                  <c:v>45838</c:v>
                </c:pt>
                <c:pt idx="236">
                  <c:v>45835</c:v>
                </c:pt>
                <c:pt idx="237">
                  <c:v>45834</c:v>
                </c:pt>
                <c:pt idx="238">
                  <c:v>45833</c:v>
                </c:pt>
                <c:pt idx="239">
                  <c:v>45832</c:v>
                </c:pt>
                <c:pt idx="240">
                  <c:v>45831</c:v>
                </c:pt>
                <c:pt idx="241">
                  <c:v>45828</c:v>
                </c:pt>
                <c:pt idx="242">
                  <c:v>45827</c:v>
                </c:pt>
                <c:pt idx="243">
                  <c:v>45826</c:v>
                </c:pt>
                <c:pt idx="244">
                  <c:v>45825</c:v>
                </c:pt>
                <c:pt idx="245">
                  <c:v>45824</c:v>
                </c:pt>
                <c:pt idx="246">
                  <c:v>45821</c:v>
                </c:pt>
              </c:numCache>
            </c:numRef>
          </c:cat>
          <c:val>
            <c:numRef>
              <c:f>Charts!$F$2:$F$1239</c:f>
              <c:numCache>
                <c:formatCode>General</c:formatCode>
                <c:ptCount val="1238"/>
                <c:pt idx="0">
                  <c:v>531245.77428198094</c:v>
                </c:pt>
                <c:pt idx="1">
                  <c:v>525538.3559112862</c:v>
                </c:pt>
                <c:pt idx="2">
                  <c:v>528036.16593412787</c:v>
                </c:pt>
                <c:pt idx="3">
                  <c:v>526567.63172786264</c:v>
                </c:pt>
                <c:pt idx="4">
                  <c:v>516010.54090665758</c:v>
                </c:pt>
                <c:pt idx="5">
                  <c:v>521006.0797488247</c:v>
                </c:pt>
                <c:pt idx="6">
                  <c:v>519867.4306465814</c:v>
                </c:pt>
                <c:pt idx="7">
                  <c:v>523266.73288963252</c:v>
                </c:pt>
                <c:pt idx="8">
                  <c:v>521209.97660343221</c:v>
                </c:pt>
                <c:pt idx="9">
                  <c:v>520164.74581859028</c:v>
                </c:pt>
                <c:pt idx="10">
                  <c:v>528573.94523402979</c:v>
                </c:pt>
                <c:pt idx="11">
                  <c:v>530832.97710397106</c:v>
                </c:pt>
                <c:pt idx="12">
                  <c:v>528977.98683475947</c:v>
                </c:pt>
                <c:pt idx="13">
                  <c:v>530133.91201251908</c:v>
                </c:pt>
                <c:pt idx="14">
                  <c:v>530747.32313611463</c:v>
                </c:pt>
                <c:pt idx="15">
                  <c:v>525225.71448393934</c:v>
                </c:pt>
                <c:pt idx="16">
                  <c:v>529764.91806038213</c:v>
                </c:pt>
                <c:pt idx="17">
                  <c:v>531332.37253410963</c:v>
                </c:pt>
                <c:pt idx="18">
                  <c:v>531753.17140439758</c:v>
                </c:pt>
                <c:pt idx="19">
                  <c:v>532560.55434351636</c:v>
                </c:pt>
                <c:pt idx="20">
                  <c:v>538230.93393387203</c:v>
                </c:pt>
                <c:pt idx="21">
                  <c:v>531214.90122865653</c:v>
                </c:pt>
                <c:pt idx="22">
                  <c:v>529336.59028549062</c:v>
                </c:pt>
                <c:pt idx="23">
                  <c:v>535692.13459618681</c:v>
                </c:pt>
                <c:pt idx="24">
                  <c:v>541844.27921871108</c:v>
                </c:pt>
                <c:pt idx="25">
                  <c:v>540420.28178653878</c:v>
                </c:pt>
                <c:pt idx="26">
                  <c:v>535039.58769385435</c:v>
                </c:pt>
                <c:pt idx="27">
                  <c:v>525799.54787767061</c:v>
                </c:pt>
                <c:pt idx="28">
                  <c:v>521959.32822603866</c:v>
                </c:pt>
                <c:pt idx="29">
                  <c:v>520010.22357823205</c:v>
                </c:pt>
                <c:pt idx="30">
                  <c:v>525331.55041110504</c:v>
                </c:pt>
                <c:pt idx="31">
                  <c:v>524788.57244185824</c:v>
                </c:pt>
                <c:pt idx="32">
                  <c:v>525542.63200879912</c:v>
                </c:pt>
                <c:pt idx="33">
                  <c:v>522072.25480542809</c:v>
                </c:pt>
                <c:pt idx="34">
                  <c:v>525735.0679513549</c:v>
                </c:pt>
                <c:pt idx="35">
                  <c:v>525727.21714561456</c:v>
                </c:pt>
                <c:pt idx="36">
                  <c:v>523049.55441418715</c:v>
                </c:pt>
                <c:pt idx="37">
                  <c:v>512672.18100038805</c:v>
                </c:pt>
                <c:pt idx="38">
                  <c:v>510942.44638711389</c:v>
                </c:pt>
                <c:pt idx="39">
                  <c:v>504483.28630195255</c:v>
                </c:pt>
                <c:pt idx="40">
                  <c:v>501017.73476540373</c:v>
                </c:pt>
                <c:pt idx="41">
                  <c:v>493082.29123978387</c:v>
                </c:pt>
                <c:pt idx="42">
                  <c:v>500573.42062156484</c:v>
                </c:pt>
                <c:pt idx="43">
                  <c:v>492945.66946074966</c:v>
                </c:pt>
                <c:pt idx="44">
                  <c:v>490168.75254649366</c:v>
                </c:pt>
                <c:pt idx="45">
                  <c:v>473669.04967484053</c:v>
                </c:pt>
                <c:pt idx="46">
                  <c:v>472589.61074067681</c:v>
                </c:pt>
                <c:pt idx="47">
                  <c:v>463406.58119057375</c:v>
                </c:pt>
                <c:pt idx="48">
                  <c:v>462054.15677939449</c:v>
                </c:pt>
                <c:pt idx="49">
                  <c:v>455172.11275889509</c:v>
                </c:pt>
                <c:pt idx="50">
                  <c:v>465078.59885171527</c:v>
                </c:pt>
                <c:pt idx="51">
                  <c:v>473238.4296286215</c:v>
                </c:pt>
                <c:pt idx="52">
                  <c:v>464923.64931515104</c:v>
                </c:pt>
                <c:pt idx="53">
                  <c:v>455958.63477426872</c:v>
                </c:pt>
                <c:pt idx="54">
                  <c:v>470391.6504314238</c:v>
                </c:pt>
                <c:pt idx="55">
                  <c:v>464005.59841366316</c:v>
                </c:pt>
                <c:pt idx="56">
                  <c:v>479634.74998282013</c:v>
                </c:pt>
                <c:pt idx="57">
                  <c:v>474830.35724359914</c:v>
                </c:pt>
                <c:pt idx="58">
                  <c:v>473848.71402219537</c:v>
                </c:pt>
                <c:pt idx="59">
                  <c:v>467443.5942578981</c:v>
                </c:pt>
                <c:pt idx="60">
                  <c:v>483147.451019286</c:v>
                </c:pt>
                <c:pt idx="61">
                  <c:v>490985.40171455679</c:v>
                </c:pt>
                <c:pt idx="62">
                  <c:v>496411.15415297891</c:v>
                </c:pt>
                <c:pt idx="63">
                  <c:v>488813.51669436088</c:v>
                </c:pt>
                <c:pt idx="64">
                  <c:v>504129.28905287117</c:v>
                </c:pt>
                <c:pt idx="65">
                  <c:v>507619.25860026717</c:v>
                </c:pt>
                <c:pt idx="66">
                  <c:v>504901.00457388756</c:v>
                </c:pt>
                <c:pt idx="67">
                  <c:v>520532.20317406737</c:v>
                </c:pt>
                <c:pt idx="68">
                  <c:v>527880.46044443652</c:v>
                </c:pt>
                <c:pt idx="69">
                  <c:v>536000.89274774829</c:v>
                </c:pt>
                <c:pt idx="70">
                  <c:v>534083.75153309084</c:v>
                </c:pt>
                <c:pt idx="71">
                  <c:v>526209.64324899367</c:v>
                </c:pt>
                <c:pt idx="72">
                  <c:v>526551.40584814386</c:v>
                </c:pt>
                <c:pt idx="73">
                  <c:v>521487.66993084183</c:v>
                </c:pt>
                <c:pt idx="74">
                  <c:v>519194.61045445025</c:v>
                </c:pt>
                <c:pt idx="75">
                  <c:v>527500.40212365368</c:v>
                </c:pt>
                <c:pt idx="76">
                  <c:v>523692.39088634076</c:v>
                </c:pt>
                <c:pt idx="77">
                  <c:v>523056.74195280811</c:v>
                </c:pt>
                <c:pt idx="78">
                  <c:v>522742.23874034785</c:v>
                </c:pt>
                <c:pt idx="79">
                  <c:v>528928.18990907143</c:v>
                </c:pt>
                <c:pt idx="80">
                  <c:v>530878.84730981337</c:v>
                </c:pt>
                <c:pt idx="81">
                  <c:v>524939.86831887986</c:v>
                </c:pt>
                <c:pt idx="82">
                  <c:v>524034.60318460979</c:v>
                </c:pt>
                <c:pt idx="83">
                  <c:v>522552.80195906648</c:v>
                </c:pt>
                <c:pt idx="84">
                  <c:v>523428.16105269478</c:v>
                </c:pt>
                <c:pt idx="85">
                  <c:v>522653.78840979352</c:v>
                </c:pt>
                <c:pt idx="86">
                  <c:v>524654.68633309379</c:v>
                </c:pt>
                <c:pt idx="87">
                  <c:v>515441.52969273354</c:v>
                </c:pt>
                <c:pt idx="88">
                  <c:v>512179.73160376766</c:v>
                </c:pt>
                <c:pt idx="89">
                  <c:v>521657.30074857076</c:v>
                </c:pt>
                <c:pt idx="90">
                  <c:v>516689.21950553614</c:v>
                </c:pt>
                <c:pt idx="91">
                  <c:v>522555.47276057897</c:v>
                </c:pt>
                <c:pt idx="92">
                  <c:v>516555.00958182302</c:v>
                </c:pt>
                <c:pt idx="93">
                  <c:v>512947.78999841044</c:v>
                </c:pt>
                <c:pt idx="94">
                  <c:v>516573.95095593168</c:v>
                </c:pt>
                <c:pt idx="95">
                  <c:v>508725.06312441692</c:v>
                </c:pt>
                <c:pt idx="96">
                  <c:v>510329.16278222355</c:v>
                </c:pt>
                <c:pt idx="97">
                  <c:v>521757.22279065847</c:v>
                </c:pt>
                <c:pt idx="98">
                  <c:v>525305.30337523227</c:v>
                </c:pt>
                <c:pt idx="99">
                  <c:v>528711.98728639469</c:v>
                </c:pt>
                <c:pt idx="100">
                  <c:v>530565.55130749778</c:v>
                </c:pt>
                <c:pt idx="101">
                  <c:v>530725.38497858786</c:v>
                </c:pt>
                <c:pt idx="102">
                  <c:v>530274.24410809239</c:v>
                </c:pt>
                <c:pt idx="103">
                  <c:v>534784.64239112404</c:v>
                </c:pt>
                <c:pt idx="104">
                  <c:v>539519.44952956564</c:v>
                </c:pt>
                <c:pt idx="105">
                  <c:v>538927.33072334877</c:v>
                </c:pt>
                <c:pt idx="106">
                  <c:v>533509.83155803243</c:v>
                </c:pt>
                <c:pt idx="107">
                  <c:v>528397.4961693068</c:v>
                </c:pt>
                <c:pt idx="108">
                  <c:v>519050.94943288702</c:v>
                </c:pt>
                <c:pt idx="109">
                  <c:v>518922.31746336154</c:v>
                </c:pt>
                <c:pt idx="110">
                  <c:v>513005.66546277818</c:v>
                </c:pt>
                <c:pt idx="111">
                  <c:v>515162.42317282018</c:v>
                </c:pt>
                <c:pt idx="112">
                  <c:v>515985.26222882827</c:v>
                </c:pt>
                <c:pt idx="113">
                  <c:v>515969.28202401765</c:v>
                </c:pt>
                <c:pt idx="114">
                  <c:v>516003.34698138095</c:v>
                </c:pt>
                <c:pt idx="115">
                  <c:v>514767.58180779329</c:v>
                </c:pt>
                <c:pt idx="116">
                  <c:v>512411.09165600629</c:v>
                </c:pt>
                <c:pt idx="117">
                  <c:v>508495.13556364574</c:v>
                </c:pt>
                <c:pt idx="118">
                  <c:v>508435.77094343613</c:v>
                </c:pt>
                <c:pt idx="119">
                  <c:v>511618.73583815806</c:v>
                </c:pt>
                <c:pt idx="120">
                  <c:v>514784.63760168938</c:v>
                </c:pt>
                <c:pt idx="121">
                  <c:v>516395.09387220163</c:v>
                </c:pt>
                <c:pt idx="122">
                  <c:v>512231.65196855547</c:v>
                </c:pt>
                <c:pt idx="123">
                  <c:v>505903.37136451283</c:v>
                </c:pt>
                <c:pt idx="124">
                  <c:v>508741.14743606595</c:v>
                </c:pt>
                <c:pt idx="125">
                  <c:v>509591.78857264813</c:v>
                </c:pt>
                <c:pt idx="126">
                  <c:v>517279.37765416445</c:v>
                </c:pt>
                <c:pt idx="127">
                  <c:v>517516.07408603618</c:v>
                </c:pt>
                <c:pt idx="128">
                  <c:v>515964.37084760639</c:v>
                </c:pt>
                <c:pt idx="129">
                  <c:v>516938.57173081487</c:v>
                </c:pt>
                <c:pt idx="130">
                  <c:v>516464.63396395161</c:v>
                </c:pt>
                <c:pt idx="131">
                  <c:v>515843.73733587033</c:v>
                </c:pt>
                <c:pt idx="132">
                  <c:v>517469.55556293769</c:v>
                </c:pt>
                <c:pt idx="133">
                  <c:v>521255.27714290569</c:v>
                </c:pt>
                <c:pt idx="134">
                  <c:v>513758.05452075612</c:v>
                </c:pt>
                <c:pt idx="135">
                  <c:v>514440.01197358349</c:v>
                </c:pt>
                <c:pt idx="136">
                  <c:v>518481.43812185532</c:v>
                </c:pt>
                <c:pt idx="137">
                  <c:v>522872.60976670036</c:v>
                </c:pt>
                <c:pt idx="138">
                  <c:v>520354.45113010722</c:v>
                </c:pt>
                <c:pt idx="139">
                  <c:v>521406.79552426923</c:v>
                </c:pt>
                <c:pt idx="140">
                  <c:v>523136.49413264246</c:v>
                </c:pt>
                <c:pt idx="141">
                  <c:v>521416.15952376183</c:v>
                </c:pt>
                <c:pt idx="142">
                  <c:v>526359.00815443997</c:v>
                </c:pt>
                <c:pt idx="143">
                  <c:v>524974.05419288739</c:v>
                </c:pt>
                <c:pt idx="144">
                  <c:v>521484.69187702198</c:v>
                </c:pt>
                <c:pt idx="145">
                  <c:v>523111.68002571946</c:v>
                </c:pt>
                <c:pt idx="146">
                  <c:v>522121.64583330159</c:v>
                </c:pt>
                <c:pt idx="147">
                  <c:v>526565.2384013976</c:v>
                </c:pt>
                <c:pt idx="148">
                  <c:v>527438.03000966914</c:v>
                </c:pt>
                <c:pt idx="149">
                  <c:v>526908.078093371</c:v>
                </c:pt>
                <c:pt idx="150">
                  <c:v>525635.67737141787</c:v>
                </c:pt>
                <c:pt idx="151">
                  <c:v>528833.87067232328</c:v>
                </c:pt>
                <c:pt idx="152">
                  <c:v>527474.66418599139</c:v>
                </c:pt>
                <c:pt idx="153">
                  <c:v>527584.9460176283</c:v>
                </c:pt>
                <c:pt idx="154">
                  <c:v>532362.77377394459</c:v>
                </c:pt>
                <c:pt idx="155">
                  <c:v>532268.56203041715</c:v>
                </c:pt>
                <c:pt idx="156">
                  <c:v>534761.49697552808</c:v>
                </c:pt>
                <c:pt idx="157">
                  <c:v>539690.43179684377</c:v>
                </c:pt>
                <c:pt idx="158">
                  <c:v>539485.98146925401</c:v>
                </c:pt>
                <c:pt idx="159">
                  <c:v>540193.89311576227</c:v>
                </c:pt>
                <c:pt idx="160">
                  <c:v>536715.80596680054</c:v>
                </c:pt>
                <c:pt idx="161">
                  <c:v>529205.98035307275</c:v>
                </c:pt>
                <c:pt idx="162">
                  <c:v>521271.23856325628</c:v>
                </c:pt>
                <c:pt idx="163">
                  <c:v>526167.87805670861</c:v>
                </c:pt>
                <c:pt idx="164">
                  <c:v>526910.08415333182</c:v>
                </c:pt>
                <c:pt idx="165">
                  <c:v>519036.71986440022</c:v>
                </c:pt>
                <c:pt idx="166">
                  <c:v>514930.54442418681</c:v>
                </c:pt>
                <c:pt idx="167">
                  <c:v>515648.67546003981</c:v>
                </c:pt>
                <c:pt idx="168">
                  <c:v>511600.57073338307</c:v>
                </c:pt>
                <c:pt idx="169">
                  <c:v>510423.50928235718</c:v>
                </c:pt>
                <c:pt idx="170">
                  <c:v>506352.9750502216</c:v>
                </c:pt>
                <c:pt idx="171">
                  <c:v>504967.93543380778</c:v>
                </c:pt>
                <c:pt idx="172">
                  <c:v>503891.36982546636</c:v>
                </c:pt>
                <c:pt idx="173">
                  <c:v>504957.74976629642</c:v>
                </c:pt>
                <c:pt idx="174">
                  <c:v>512522.66465802194</c:v>
                </c:pt>
                <c:pt idx="175">
                  <c:v>517535.736900663</c:v>
                </c:pt>
                <c:pt idx="176">
                  <c:v>518918.28650697134</c:v>
                </c:pt>
                <c:pt idx="177">
                  <c:v>525940.02258810413</c:v>
                </c:pt>
                <c:pt idx="178">
                  <c:v>528222.19815069006</c:v>
                </c:pt>
                <c:pt idx="179">
                  <c:v>529288.56148124312</c:v>
                </c:pt>
                <c:pt idx="180">
                  <c:v>528745.10868443979</c:v>
                </c:pt>
                <c:pt idx="181">
                  <c:v>528982.21011784591</c:v>
                </c:pt>
                <c:pt idx="182">
                  <c:v>526355.12447877147</c:v>
                </c:pt>
                <c:pt idx="183">
                  <c:v>527315.11046254961</c:v>
                </c:pt>
                <c:pt idx="184">
                  <c:v>529603.79992535315</c:v>
                </c:pt>
                <c:pt idx="185">
                  <c:v>530940.18457166268</c:v>
                </c:pt>
                <c:pt idx="186">
                  <c:v>532186.87281797733</c:v>
                </c:pt>
                <c:pt idx="187">
                  <c:v>531975.39037541498</c:v>
                </c:pt>
                <c:pt idx="188">
                  <c:v>531541.4540307495</c:v>
                </c:pt>
                <c:pt idx="189">
                  <c:v>534877.34762867657</c:v>
                </c:pt>
                <c:pt idx="190">
                  <c:v>535172.47870292189</c:v>
                </c:pt>
                <c:pt idx="191">
                  <c:v>535900.33234251966</c:v>
                </c:pt>
                <c:pt idx="192">
                  <c:v>532428.8893863291</c:v>
                </c:pt>
                <c:pt idx="193">
                  <c:v>525309.56322023703</c:v>
                </c:pt>
                <c:pt idx="194">
                  <c:v>523265.2045127757</c:v>
                </c:pt>
                <c:pt idx="195">
                  <c:v>527252.04302711389</c:v>
                </c:pt>
                <c:pt idx="196">
                  <c:v>526324.91933195968</c:v>
                </c:pt>
                <c:pt idx="197">
                  <c:v>525291.58033712069</c:v>
                </c:pt>
                <c:pt idx="198">
                  <c:v>527259.75765335653</c:v>
                </c:pt>
                <c:pt idx="199">
                  <c:v>529190.71246269415</c:v>
                </c:pt>
                <c:pt idx="200">
                  <c:v>527934.860922163</c:v>
                </c:pt>
                <c:pt idx="201">
                  <c:v>525058.28977283149</c:v>
                </c:pt>
                <c:pt idx="202">
                  <c:v>514176.61636317562</c:v>
                </c:pt>
                <c:pt idx="203">
                  <c:v>514382.21666024637</c:v>
                </c:pt>
                <c:pt idx="204">
                  <c:v>513152.68097807793</c:v>
                </c:pt>
                <c:pt idx="205">
                  <c:v>514742.0272482236</c:v>
                </c:pt>
                <c:pt idx="206">
                  <c:v>509043.94771597825</c:v>
                </c:pt>
                <c:pt idx="207">
                  <c:v>515381.45920883009</c:v>
                </c:pt>
                <c:pt idx="208">
                  <c:v>513697.0840875773</c:v>
                </c:pt>
                <c:pt idx="209">
                  <c:v>525131.32497336552</c:v>
                </c:pt>
                <c:pt idx="210">
                  <c:v>526319.31483852351</c:v>
                </c:pt>
                <c:pt idx="211">
                  <c:v>517775.28835014644</c:v>
                </c:pt>
                <c:pt idx="212">
                  <c:v>521903.33143959782</c:v>
                </c:pt>
                <c:pt idx="213">
                  <c:v>521525.78122319543</c:v>
                </c:pt>
                <c:pt idx="214">
                  <c:v>521637.70657440374</c:v>
                </c:pt>
                <c:pt idx="215">
                  <c:v>515465.9756196363</c:v>
                </c:pt>
                <c:pt idx="216">
                  <c:v>517352.35892721202</c:v>
                </c:pt>
                <c:pt idx="217">
                  <c:v>520696.08694381162</c:v>
                </c:pt>
                <c:pt idx="218">
                  <c:v>528344.30270151352</c:v>
                </c:pt>
                <c:pt idx="219">
                  <c:v>527950.88933546143</c:v>
                </c:pt>
                <c:pt idx="220">
                  <c:v>534492.28390599682</c:v>
                </c:pt>
                <c:pt idx="221">
                  <c:v>533726.46989044663</c:v>
                </c:pt>
                <c:pt idx="222">
                  <c:v>535992.72443850629</c:v>
                </c:pt>
                <c:pt idx="223">
                  <c:v>536217.45993347943</c:v>
                </c:pt>
                <c:pt idx="224">
                  <c:v>533919.01388923731</c:v>
                </c:pt>
                <c:pt idx="225">
                  <c:v>530343.68164377369</c:v>
                </c:pt>
                <c:pt idx="226">
                  <c:v>528921.88966320502</c:v>
                </c:pt>
                <c:pt idx="227">
                  <c:v>530584.82416214026</c:v>
                </c:pt>
                <c:pt idx="228">
                  <c:v>532468.38681709685</c:v>
                </c:pt>
                <c:pt idx="229">
                  <c:v>530148.74657259264</c:v>
                </c:pt>
                <c:pt idx="230">
                  <c:v>530622.38608791528</c:v>
                </c:pt>
                <c:pt idx="231">
                  <c:v>530727.62770916021</c:v>
                </c:pt>
                <c:pt idx="232">
                  <c:v>525760.71937399835</c:v>
                </c:pt>
                <c:pt idx="233">
                  <c:v>518576.89304517646</c:v>
                </c:pt>
                <c:pt idx="234">
                  <c:v>516126.73619735078</c:v>
                </c:pt>
                <c:pt idx="235">
                  <c:v>518097.24509034684</c:v>
                </c:pt>
                <c:pt idx="236">
                  <c:v>515087.84093273518</c:v>
                </c:pt>
                <c:pt idx="237">
                  <c:v>509646.69833768538</c:v>
                </c:pt>
                <c:pt idx="238">
                  <c:v>504883.97540306929</c:v>
                </c:pt>
                <c:pt idx="239">
                  <c:v>500629.96562913927</c:v>
                </c:pt>
                <c:pt idx="240">
                  <c:v>498555.02622859587</c:v>
                </c:pt>
                <c:pt idx="241">
                  <c:v>500656.12067492172</c:v>
                </c:pt>
                <c:pt idx="242">
                  <c:v>497491.56063337321</c:v>
                </c:pt>
                <c:pt idx="243">
                  <c:v>499148.96038891649</c:v>
                </c:pt>
                <c:pt idx="244">
                  <c:v>500891.42562609527</c:v>
                </c:pt>
                <c:pt idx="245">
                  <c:v>504897.20604587131</c:v>
                </c:pt>
                <c:pt idx="246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1-4DF7-ABDC-0D7E1F74B379}"/>
            </c:ext>
          </c:extLst>
        </c:ser>
        <c:ser>
          <c:idx val="1"/>
          <c:order val="1"/>
          <c:tx>
            <c:strRef>
              <c:f>Charts!$G$1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Charts!$G$2:$G$1239</c:f>
              <c:numCache>
                <c:formatCode>General</c:formatCode>
                <c:ptCount val="1238"/>
                <c:pt idx="0">
                  <c:v>500000</c:v>
                </c:pt>
                <c:pt idx="1">
                  <c:v>500000</c:v>
                </c:pt>
                <c:pt idx="2">
                  <c:v>500000</c:v>
                </c:pt>
                <c:pt idx="3">
                  <c:v>500000</c:v>
                </c:pt>
                <c:pt idx="4">
                  <c:v>500000</c:v>
                </c:pt>
                <c:pt idx="5">
                  <c:v>500000</c:v>
                </c:pt>
                <c:pt idx="6">
                  <c:v>500000</c:v>
                </c:pt>
                <c:pt idx="7">
                  <c:v>500000</c:v>
                </c:pt>
                <c:pt idx="8">
                  <c:v>500000</c:v>
                </c:pt>
                <c:pt idx="9">
                  <c:v>500000</c:v>
                </c:pt>
                <c:pt idx="10">
                  <c:v>500000</c:v>
                </c:pt>
                <c:pt idx="11">
                  <c:v>500000</c:v>
                </c:pt>
                <c:pt idx="12">
                  <c:v>500000</c:v>
                </c:pt>
                <c:pt idx="13">
                  <c:v>500000</c:v>
                </c:pt>
                <c:pt idx="14">
                  <c:v>500000</c:v>
                </c:pt>
                <c:pt idx="15">
                  <c:v>500000</c:v>
                </c:pt>
                <c:pt idx="16">
                  <c:v>500000</c:v>
                </c:pt>
                <c:pt idx="17">
                  <c:v>500000</c:v>
                </c:pt>
                <c:pt idx="18">
                  <c:v>500000</c:v>
                </c:pt>
                <c:pt idx="19">
                  <c:v>500000</c:v>
                </c:pt>
                <c:pt idx="20">
                  <c:v>500000</c:v>
                </c:pt>
                <c:pt idx="21">
                  <c:v>500000</c:v>
                </c:pt>
                <c:pt idx="22">
                  <c:v>500000</c:v>
                </c:pt>
                <c:pt idx="23">
                  <c:v>500000</c:v>
                </c:pt>
                <c:pt idx="24">
                  <c:v>500000</c:v>
                </c:pt>
                <c:pt idx="25">
                  <c:v>500000</c:v>
                </c:pt>
                <c:pt idx="26">
                  <c:v>500000</c:v>
                </c:pt>
                <c:pt idx="27">
                  <c:v>500000</c:v>
                </c:pt>
                <c:pt idx="28">
                  <c:v>500000</c:v>
                </c:pt>
                <c:pt idx="29">
                  <c:v>500000</c:v>
                </c:pt>
                <c:pt idx="30">
                  <c:v>500000</c:v>
                </c:pt>
                <c:pt idx="31">
                  <c:v>500000</c:v>
                </c:pt>
                <c:pt idx="32">
                  <c:v>500000</c:v>
                </c:pt>
                <c:pt idx="33">
                  <c:v>500000</c:v>
                </c:pt>
                <c:pt idx="34">
                  <c:v>500000</c:v>
                </c:pt>
                <c:pt idx="35">
                  <c:v>500000</c:v>
                </c:pt>
                <c:pt idx="36">
                  <c:v>500000</c:v>
                </c:pt>
                <c:pt idx="37">
                  <c:v>500000</c:v>
                </c:pt>
                <c:pt idx="38">
                  <c:v>500000</c:v>
                </c:pt>
                <c:pt idx="39">
                  <c:v>500000</c:v>
                </c:pt>
                <c:pt idx="40">
                  <c:v>500000</c:v>
                </c:pt>
                <c:pt idx="41">
                  <c:v>500000</c:v>
                </c:pt>
                <c:pt idx="42">
                  <c:v>500000</c:v>
                </c:pt>
                <c:pt idx="43">
                  <c:v>500000</c:v>
                </c:pt>
                <c:pt idx="44">
                  <c:v>500000</c:v>
                </c:pt>
                <c:pt idx="45">
                  <c:v>500000</c:v>
                </c:pt>
                <c:pt idx="46">
                  <c:v>500000</c:v>
                </c:pt>
                <c:pt idx="47">
                  <c:v>500000</c:v>
                </c:pt>
                <c:pt idx="48">
                  <c:v>500000</c:v>
                </c:pt>
                <c:pt idx="49">
                  <c:v>500000</c:v>
                </c:pt>
                <c:pt idx="50">
                  <c:v>500000</c:v>
                </c:pt>
                <c:pt idx="51">
                  <c:v>500000</c:v>
                </c:pt>
                <c:pt idx="52">
                  <c:v>500000</c:v>
                </c:pt>
                <c:pt idx="53">
                  <c:v>500000</c:v>
                </c:pt>
                <c:pt idx="54">
                  <c:v>500000</c:v>
                </c:pt>
                <c:pt idx="55">
                  <c:v>500000</c:v>
                </c:pt>
                <c:pt idx="56">
                  <c:v>500000</c:v>
                </c:pt>
                <c:pt idx="57">
                  <c:v>500000</c:v>
                </c:pt>
                <c:pt idx="58">
                  <c:v>500000</c:v>
                </c:pt>
                <c:pt idx="59">
                  <c:v>500000</c:v>
                </c:pt>
                <c:pt idx="60">
                  <c:v>500000</c:v>
                </c:pt>
                <c:pt idx="61">
                  <c:v>500000</c:v>
                </c:pt>
                <c:pt idx="62">
                  <c:v>500000</c:v>
                </c:pt>
                <c:pt idx="63">
                  <c:v>500000</c:v>
                </c:pt>
                <c:pt idx="64">
                  <c:v>500000</c:v>
                </c:pt>
                <c:pt idx="65">
                  <c:v>500000</c:v>
                </c:pt>
                <c:pt idx="66">
                  <c:v>500000</c:v>
                </c:pt>
                <c:pt idx="67">
                  <c:v>500000</c:v>
                </c:pt>
                <c:pt idx="68">
                  <c:v>500000</c:v>
                </c:pt>
                <c:pt idx="69">
                  <c:v>500000</c:v>
                </c:pt>
                <c:pt idx="70">
                  <c:v>500000</c:v>
                </c:pt>
                <c:pt idx="71">
                  <c:v>500000</c:v>
                </c:pt>
                <c:pt idx="72">
                  <c:v>500000</c:v>
                </c:pt>
                <c:pt idx="73">
                  <c:v>500000</c:v>
                </c:pt>
                <c:pt idx="74">
                  <c:v>500000</c:v>
                </c:pt>
                <c:pt idx="75">
                  <c:v>500000</c:v>
                </c:pt>
                <c:pt idx="76">
                  <c:v>500000</c:v>
                </c:pt>
                <c:pt idx="77">
                  <c:v>500000</c:v>
                </c:pt>
                <c:pt idx="78">
                  <c:v>500000</c:v>
                </c:pt>
                <c:pt idx="79">
                  <c:v>500000</c:v>
                </c:pt>
                <c:pt idx="80">
                  <c:v>500000</c:v>
                </c:pt>
                <c:pt idx="81">
                  <c:v>500000</c:v>
                </c:pt>
                <c:pt idx="82">
                  <c:v>500000</c:v>
                </c:pt>
                <c:pt idx="83">
                  <c:v>500000</c:v>
                </c:pt>
                <c:pt idx="84">
                  <c:v>500000</c:v>
                </c:pt>
                <c:pt idx="85">
                  <c:v>500000</c:v>
                </c:pt>
                <c:pt idx="86">
                  <c:v>500000</c:v>
                </c:pt>
                <c:pt idx="87">
                  <c:v>500000</c:v>
                </c:pt>
                <c:pt idx="88">
                  <c:v>500000</c:v>
                </c:pt>
                <c:pt idx="89">
                  <c:v>500000</c:v>
                </c:pt>
                <c:pt idx="90">
                  <c:v>500000</c:v>
                </c:pt>
                <c:pt idx="91">
                  <c:v>500000</c:v>
                </c:pt>
                <c:pt idx="92">
                  <c:v>500000</c:v>
                </c:pt>
                <c:pt idx="93">
                  <c:v>500000</c:v>
                </c:pt>
                <c:pt idx="94">
                  <c:v>500000</c:v>
                </c:pt>
                <c:pt idx="95">
                  <c:v>500000</c:v>
                </c:pt>
                <c:pt idx="96">
                  <c:v>500000</c:v>
                </c:pt>
                <c:pt idx="97">
                  <c:v>500000</c:v>
                </c:pt>
                <c:pt idx="98">
                  <c:v>500000</c:v>
                </c:pt>
                <c:pt idx="99">
                  <c:v>500000</c:v>
                </c:pt>
                <c:pt idx="100">
                  <c:v>500000</c:v>
                </c:pt>
                <c:pt idx="101">
                  <c:v>500000</c:v>
                </c:pt>
                <c:pt idx="102">
                  <c:v>500000</c:v>
                </c:pt>
                <c:pt idx="103">
                  <c:v>500000</c:v>
                </c:pt>
                <c:pt idx="104">
                  <c:v>500000</c:v>
                </c:pt>
                <c:pt idx="105">
                  <c:v>500000</c:v>
                </c:pt>
                <c:pt idx="106">
                  <c:v>500000</c:v>
                </c:pt>
                <c:pt idx="107">
                  <c:v>500000</c:v>
                </c:pt>
                <c:pt idx="108">
                  <c:v>500000</c:v>
                </c:pt>
                <c:pt idx="109">
                  <c:v>500000</c:v>
                </c:pt>
                <c:pt idx="110">
                  <c:v>500000</c:v>
                </c:pt>
                <c:pt idx="111">
                  <c:v>500000</c:v>
                </c:pt>
                <c:pt idx="112">
                  <c:v>500000</c:v>
                </c:pt>
                <c:pt idx="113">
                  <c:v>500000</c:v>
                </c:pt>
                <c:pt idx="114">
                  <c:v>500000</c:v>
                </c:pt>
                <c:pt idx="115">
                  <c:v>500000</c:v>
                </c:pt>
                <c:pt idx="116">
                  <c:v>500000</c:v>
                </c:pt>
                <c:pt idx="117">
                  <c:v>500000</c:v>
                </c:pt>
                <c:pt idx="118">
                  <c:v>500000</c:v>
                </c:pt>
                <c:pt idx="119">
                  <c:v>500000</c:v>
                </c:pt>
                <c:pt idx="120">
                  <c:v>500000</c:v>
                </c:pt>
                <c:pt idx="121">
                  <c:v>500000</c:v>
                </c:pt>
                <c:pt idx="122">
                  <c:v>500000</c:v>
                </c:pt>
                <c:pt idx="123">
                  <c:v>500000</c:v>
                </c:pt>
                <c:pt idx="124">
                  <c:v>500000</c:v>
                </c:pt>
                <c:pt idx="125">
                  <c:v>500000</c:v>
                </c:pt>
                <c:pt idx="126">
                  <c:v>500000</c:v>
                </c:pt>
                <c:pt idx="127">
                  <c:v>500000</c:v>
                </c:pt>
                <c:pt idx="128">
                  <c:v>500000</c:v>
                </c:pt>
                <c:pt idx="129">
                  <c:v>500000</c:v>
                </c:pt>
                <c:pt idx="130">
                  <c:v>500000</c:v>
                </c:pt>
                <c:pt idx="131">
                  <c:v>500000</c:v>
                </c:pt>
                <c:pt idx="132">
                  <c:v>500000</c:v>
                </c:pt>
                <c:pt idx="133">
                  <c:v>500000</c:v>
                </c:pt>
                <c:pt idx="134">
                  <c:v>500000</c:v>
                </c:pt>
                <c:pt idx="135">
                  <c:v>500000</c:v>
                </c:pt>
                <c:pt idx="136">
                  <c:v>500000</c:v>
                </c:pt>
                <c:pt idx="137">
                  <c:v>500000</c:v>
                </c:pt>
                <c:pt idx="138">
                  <c:v>500000</c:v>
                </c:pt>
                <c:pt idx="139">
                  <c:v>500000</c:v>
                </c:pt>
                <c:pt idx="140">
                  <c:v>500000</c:v>
                </c:pt>
                <c:pt idx="141">
                  <c:v>500000</c:v>
                </c:pt>
                <c:pt idx="142">
                  <c:v>500000</c:v>
                </c:pt>
                <c:pt idx="143">
                  <c:v>500000</c:v>
                </c:pt>
                <c:pt idx="144">
                  <c:v>500000</c:v>
                </c:pt>
                <c:pt idx="145">
                  <c:v>500000</c:v>
                </c:pt>
                <c:pt idx="146">
                  <c:v>500000</c:v>
                </c:pt>
                <c:pt idx="147">
                  <c:v>500000</c:v>
                </c:pt>
                <c:pt idx="148">
                  <c:v>500000</c:v>
                </c:pt>
                <c:pt idx="149">
                  <c:v>500000</c:v>
                </c:pt>
                <c:pt idx="150">
                  <c:v>500000</c:v>
                </c:pt>
                <c:pt idx="151">
                  <c:v>500000</c:v>
                </c:pt>
                <c:pt idx="152">
                  <c:v>500000</c:v>
                </c:pt>
                <c:pt idx="153">
                  <c:v>500000</c:v>
                </c:pt>
                <c:pt idx="154">
                  <c:v>500000</c:v>
                </c:pt>
                <c:pt idx="155">
                  <c:v>500000</c:v>
                </c:pt>
                <c:pt idx="156">
                  <c:v>500000</c:v>
                </c:pt>
                <c:pt idx="157">
                  <c:v>500000</c:v>
                </c:pt>
                <c:pt idx="158">
                  <c:v>500000</c:v>
                </c:pt>
                <c:pt idx="159">
                  <c:v>500000</c:v>
                </c:pt>
                <c:pt idx="160">
                  <c:v>500000</c:v>
                </c:pt>
                <c:pt idx="161">
                  <c:v>500000</c:v>
                </c:pt>
                <c:pt idx="162">
                  <c:v>500000</c:v>
                </c:pt>
                <c:pt idx="163">
                  <c:v>500000</c:v>
                </c:pt>
                <c:pt idx="164">
                  <c:v>500000</c:v>
                </c:pt>
                <c:pt idx="165">
                  <c:v>500000</c:v>
                </c:pt>
                <c:pt idx="166">
                  <c:v>500000</c:v>
                </c:pt>
                <c:pt idx="167">
                  <c:v>500000</c:v>
                </c:pt>
                <c:pt idx="168">
                  <c:v>500000</c:v>
                </c:pt>
                <c:pt idx="169">
                  <c:v>500000</c:v>
                </c:pt>
                <c:pt idx="170">
                  <c:v>500000</c:v>
                </c:pt>
                <c:pt idx="171">
                  <c:v>500000</c:v>
                </c:pt>
                <c:pt idx="172">
                  <c:v>500000</c:v>
                </c:pt>
                <c:pt idx="173">
                  <c:v>500000</c:v>
                </c:pt>
                <c:pt idx="174">
                  <c:v>500000</c:v>
                </c:pt>
                <c:pt idx="175">
                  <c:v>500000</c:v>
                </c:pt>
                <c:pt idx="176">
                  <c:v>500000</c:v>
                </c:pt>
                <c:pt idx="177">
                  <c:v>500000</c:v>
                </c:pt>
                <c:pt idx="178">
                  <c:v>500000</c:v>
                </c:pt>
                <c:pt idx="179">
                  <c:v>500000</c:v>
                </c:pt>
                <c:pt idx="180">
                  <c:v>500000</c:v>
                </c:pt>
                <c:pt idx="181">
                  <c:v>500000</c:v>
                </c:pt>
                <c:pt idx="182">
                  <c:v>500000</c:v>
                </c:pt>
                <c:pt idx="183">
                  <c:v>500000</c:v>
                </c:pt>
                <c:pt idx="184">
                  <c:v>500000</c:v>
                </c:pt>
                <c:pt idx="185">
                  <c:v>500000</c:v>
                </c:pt>
                <c:pt idx="186">
                  <c:v>500000</c:v>
                </c:pt>
                <c:pt idx="187">
                  <c:v>500000</c:v>
                </c:pt>
                <c:pt idx="188">
                  <c:v>500000</c:v>
                </c:pt>
                <c:pt idx="189">
                  <c:v>500000</c:v>
                </c:pt>
                <c:pt idx="190">
                  <c:v>500000</c:v>
                </c:pt>
                <c:pt idx="191">
                  <c:v>500000</c:v>
                </c:pt>
                <c:pt idx="192">
                  <c:v>500000</c:v>
                </c:pt>
                <c:pt idx="193">
                  <c:v>500000</c:v>
                </c:pt>
                <c:pt idx="194">
                  <c:v>500000</c:v>
                </c:pt>
                <c:pt idx="195">
                  <c:v>500000</c:v>
                </c:pt>
                <c:pt idx="196">
                  <c:v>500000</c:v>
                </c:pt>
                <c:pt idx="197">
                  <c:v>500000</c:v>
                </c:pt>
                <c:pt idx="198">
                  <c:v>500000</c:v>
                </c:pt>
                <c:pt idx="199">
                  <c:v>500000</c:v>
                </c:pt>
                <c:pt idx="200">
                  <c:v>500000</c:v>
                </c:pt>
                <c:pt idx="201">
                  <c:v>500000</c:v>
                </c:pt>
                <c:pt idx="202">
                  <c:v>500000</c:v>
                </c:pt>
                <c:pt idx="203">
                  <c:v>500000</c:v>
                </c:pt>
                <c:pt idx="204">
                  <c:v>500000</c:v>
                </c:pt>
                <c:pt idx="205">
                  <c:v>500000</c:v>
                </c:pt>
                <c:pt idx="206">
                  <c:v>500000</c:v>
                </c:pt>
                <c:pt idx="207">
                  <c:v>500000</c:v>
                </c:pt>
                <c:pt idx="208">
                  <c:v>500000</c:v>
                </c:pt>
                <c:pt idx="209">
                  <c:v>500000</c:v>
                </c:pt>
                <c:pt idx="210">
                  <c:v>500000</c:v>
                </c:pt>
                <c:pt idx="211">
                  <c:v>500000</c:v>
                </c:pt>
                <c:pt idx="212">
                  <c:v>500000</c:v>
                </c:pt>
                <c:pt idx="213">
                  <c:v>500000</c:v>
                </c:pt>
                <c:pt idx="214">
                  <c:v>500000</c:v>
                </c:pt>
                <c:pt idx="215">
                  <c:v>500000</c:v>
                </c:pt>
                <c:pt idx="216">
                  <c:v>500000</c:v>
                </c:pt>
                <c:pt idx="217">
                  <c:v>500000</c:v>
                </c:pt>
                <c:pt idx="218">
                  <c:v>500000</c:v>
                </c:pt>
                <c:pt idx="219">
                  <c:v>500000</c:v>
                </c:pt>
                <c:pt idx="220">
                  <c:v>500000</c:v>
                </c:pt>
                <c:pt idx="221">
                  <c:v>500000</c:v>
                </c:pt>
                <c:pt idx="222">
                  <c:v>500000</c:v>
                </c:pt>
                <c:pt idx="223">
                  <c:v>500000</c:v>
                </c:pt>
                <c:pt idx="224">
                  <c:v>500000</c:v>
                </c:pt>
                <c:pt idx="225">
                  <c:v>500000</c:v>
                </c:pt>
                <c:pt idx="226">
                  <c:v>500000</c:v>
                </c:pt>
                <c:pt idx="227">
                  <c:v>500000</c:v>
                </c:pt>
                <c:pt idx="228">
                  <c:v>500000</c:v>
                </c:pt>
                <c:pt idx="229">
                  <c:v>500000</c:v>
                </c:pt>
                <c:pt idx="230">
                  <c:v>500000</c:v>
                </c:pt>
                <c:pt idx="231">
                  <c:v>500000</c:v>
                </c:pt>
                <c:pt idx="232">
                  <c:v>500000</c:v>
                </c:pt>
                <c:pt idx="233">
                  <c:v>500000</c:v>
                </c:pt>
                <c:pt idx="234">
                  <c:v>500000</c:v>
                </c:pt>
                <c:pt idx="235">
                  <c:v>500000</c:v>
                </c:pt>
                <c:pt idx="236">
                  <c:v>500000</c:v>
                </c:pt>
                <c:pt idx="237">
                  <c:v>500000</c:v>
                </c:pt>
                <c:pt idx="238">
                  <c:v>500000</c:v>
                </c:pt>
                <c:pt idx="239">
                  <c:v>500000</c:v>
                </c:pt>
                <c:pt idx="240">
                  <c:v>500000</c:v>
                </c:pt>
                <c:pt idx="241">
                  <c:v>500000</c:v>
                </c:pt>
                <c:pt idx="242">
                  <c:v>500000</c:v>
                </c:pt>
                <c:pt idx="243">
                  <c:v>500000</c:v>
                </c:pt>
                <c:pt idx="244">
                  <c:v>500000</c:v>
                </c:pt>
                <c:pt idx="245">
                  <c:v>500000</c:v>
                </c:pt>
                <c:pt idx="246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B1-4DF7-ABDC-0D7E1F74B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770752"/>
        <c:axId val="2104771232"/>
      </c:lineChart>
      <c:dateAx>
        <c:axId val="2104770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771232"/>
        <c:crosses val="autoZero"/>
        <c:auto val="0"/>
        <c:lblOffset val="100"/>
        <c:baseTimeUnit val="days"/>
        <c:majorUnit val="1"/>
        <c:majorTimeUnit val="years"/>
      </c:dateAx>
      <c:valAx>
        <c:axId val="210477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7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baseline="0"/>
              <a:t>Distribution of Daily Portfolio Returns (Historical vs Normal)</a:t>
            </a:r>
            <a:endParaRPr lang="en-IN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Charts!$A$2:$A$42</c:f>
              <c:numCache>
                <c:formatCode>0.00%</c:formatCode>
                <c:ptCount val="41"/>
                <c:pt idx="0">
                  <c:v>-0.05</c:v>
                </c:pt>
                <c:pt idx="1">
                  <c:v>-4.7500000000000001E-2</c:v>
                </c:pt>
                <c:pt idx="2">
                  <c:v>-4.4999999999999998E-2</c:v>
                </c:pt>
                <c:pt idx="3">
                  <c:v>-4.2499999999999996E-2</c:v>
                </c:pt>
                <c:pt idx="4">
                  <c:v>-3.9999999999999994E-2</c:v>
                </c:pt>
                <c:pt idx="5">
                  <c:v>-3.7499999999999992E-2</c:v>
                </c:pt>
                <c:pt idx="6">
                  <c:v>-3.4999999999999989E-2</c:v>
                </c:pt>
                <c:pt idx="7">
                  <c:v>-3.2499999999999987E-2</c:v>
                </c:pt>
                <c:pt idx="8">
                  <c:v>-2.9999999999999988E-2</c:v>
                </c:pt>
                <c:pt idx="9">
                  <c:v>-2.749999999999999E-2</c:v>
                </c:pt>
                <c:pt idx="10">
                  <c:v>-2.4999999999999991E-2</c:v>
                </c:pt>
                <c:pt idx="11">
                  <c:v>-2.2499999999999992E-2</c:v>
                </c:pt>
                <c:pt idx="12">
                  <c:v>-1.9999999999999993E-2</c:v>
                </c:pt>
                <c:pt idx="13">
                  <c:v>-1.7499999999999995E-2</c:v>
                </c:pt>
                <c:pt idx="14">
                  <c:v>-1.4999999999999994E-2</c:v>
                </c:pt>
                <c:pt idx="15">
                  <c:v>-1.2499999999999994E-2</c:v>
                </c:pt>
                <c:pt idx="16">
                  <c:v>-9.9999999999999933E-3</c:v>
                </c:pt>
                <c:pt idx="17">
                  <c:v>-7.4999999999999928E-3</c:v>
                </c:pt>
                <c:pt idx="18">
                  <c:v>-4.9999999999999923E-3</c:v>
                </c:pt>
                <c:pt idx="19">
                  <c:v>-2.4999999999999922E-3</c:v>
                </c:pt>
                <c:pt idx="20">
                  <c:v>7.8062556418956319E-18</c:v>
                </c:pt>
                <c:pt idx="21">
                  <c:v>2.5000000000000079E-3</c:v>
                </c:pt>
                <c:pt idx="22">
                  <c:v>5.0000000000000079E-3</c:v>
                </c:pt>
                <c:pt idx="23">
                  <c:v>7.5000000000000084E-3</c:v>
                </c:pt>
                <c:pt idx="24">
                  <c:v>1.0000000000000009E-2</c:v>
                </c:pt>
                <c:pt idx="25">
                  <c:v>1.2500000000000009E-2</c:v>
                </c:pt>
                <c:pt idx="26">
                  <c:v>1.500000000000001E-2</c:v>
                </c:pt>
                <c:pt idx="27">
                  <c:v>1.7500000000000009E-2</c:v>
                </c:pt>
                <c:pt idx="28">
                  <c:v>2.0000000000000007E-2</c:v>
                </c:pt>
                <c:pt idx="29">
                  <c:v>2.2500000000000006E-2</c:v>
                </c:pt>
                <c:pt idx="30">
                  <c:v>2.5000000000000005E-2</c:v>
                </c:pt>
                <c:pt idx="31">
                  <c:v>2.7500000000000004E-2</c:v>
                </c:pt>
                <c:pt idx="32">
                  <c:v>3.0000000000000002E-2</c:v>
                </c:pt>
                <c:pt idx="33">
                  <c:v>3.2500000000000001E-2</c:v>
                </c:pt>
                <c:pt idx="34">
                  <c:v>3.5000000000000003E-2</c:v>
                </c:pt>
                <c:pt idx="35">
                  <c:v>3.7500000000000006E-2</c:v>
                </c:pt>
                <c:pt idx="36">
                  <c:v>4.0000000000000008E-2</c:v>
                </c:pt>
                <c:pt idx="37">
                  <c:v>4.250000000000001E-2</c:v>
                </c:pt>
                <c:pt idx="38">
                  <c:v>4.5000000000000012E-2</c:v>
                </c:pt>
                <c:pt idx="39">
                  <c:v>4.7500000000000014E-2</c:v>
                </c:pt>
                <c:pt idx="40">
                  <c:v>5.0000000000000017E-2</c:v>
                </c:pt>
              </c:numCache>
            </c:numRef>
          </c:cat>
          <c:val>
            <c:numRef>
              <c:f>Charts!$B$2:$B$42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6</c:v>
                </c:pt>
                <c:pt idx="16">
                  <c:v>9</c:v>
                </c:pt>
                <c:pt idx="17">
                  <c:v>15</c:v>
                </c:pt>
                <c:pt idx="18">
                  <c:v>13</c:v>
                </c:pt>
                <c:pt idx="19">
                  <c:v>28</c:v>
                </c:pt>
                <c:pt idx="20">
                  <c:v>33</c:v>
                </c:pt>
                <c:pt idx="21">
                  <c:v>35</c:v>
                </c:pt>
                <c:pt idx="22">
                  <c:v>26</c:v>
                </c:pt>
                <c:pt idx="23">
                  <c:v>16</c:v>
                </c:pt>
                <c:pt idx="24">
                  <c:v>12</c:v>
                </c:pt>
                <c:pt idx="25">
                  <c:v>11</c:v>
                </c:pt>
                <c:pt idx="26">
                  <c:v>10</c:v>
                </c:pt>
                <c:pt idx="27">
                  <c:v>8</c:v>
                </c:pt>
                <c:pt idx="28">
                  <c:v>6</c:v>
                </c:pt>
                <c:pt idx="29">
                  <c:v>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5-425E-B76C-80829F73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3059984"/>
        <c:axId val="53061904"/>
      </c:barChart>
      <c:lineChart>
        <c:grouping val="standard"/>
        <c:varyColors val="0"/>
        <c:ser>
          <c:idx val="2"/>
          <c:order val="1"/>
          <c:tx>
            <c:strRef>
              <c:f>Charts!$C$1</c:f>
              <c:strCache>
                <c:ptCount val="1"/>
                <c:pt idx="0">
                  <c:v>Normal Curve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Charts!$C$2:$C$42</c:f>
              <c:numCache>
                <c:formatCode>General</c:formatCode>
                <c:ptCount val="41"/>
                <c:pt idx="0">
                  <c:v>6.5340427375048079E-5</c:v>
                </c:pt>
                <c:pt idx="1">
                  <c:v>2.2694240871324952E-4</c:v>
                </c:pt>
                <c:pt idx="2">
                  <c:v>7.3975266871006138E-4</c:v>
                </c:pt>
                <c:pt idx="3">
                  <c:v>2.2630524124278894E-3</c:v>
                </c:pt>
                <c:pt idx="4">
                  <c:v>6.4974040584812667E-3</c:v>
                </c:pt>
                <c:pt idx="5">
                  <c:v>1.7507427220184113E-2</c:v>
                </c:pt>
                <c:pt idx="6">
                  <c:v>4.4273308249001671E-2</c:v>
                </c:pt>
                <c:pt idx="7">
                  <c:v>0.10507485802226915</c:v>
                </c:pt>
                <c:pt idx="8">
                  <c:v>0.23404148218398299</c:v>
                </c:pt>
                <c:pt idx="9">
                  <c:v>0.4892423674369562</c:v>
                </c:pt>
                <c:pt idx="10">
                  <c:v>0.95982591044055288</c:v>
                </c:pt>
                <c:pt idx="11">
                  <c:v>1.7672503290862087</c:v>
                </c:pt>
                <c:pt idx="12">
                  <c:v>3.0538019223171164</c:v>
                </c:pt>
                <c:pt idx="13">
                  <c:v>4.9524585381289068</c:v>
                </c:pt>
                <c:pt idx="14">
                  <c:v>7.5376856842411701</c:v>
                </c:pt>
                <c:pt idx="15">
                  <c:v>10.766942417137392</c:v>
                </c:pt>
                <c:pt idx="16">
                  <c:v>14.433908514234473</c:v>
                </c:pt>
                <c:pt idx="17">
                  <c:v>18.159868419636389</c:v>
                </c:pt>
                <c:pt idx="18">
                  <c:v>21.442658936563831</c:v>
                </c:pt>
                <c:pt idx="19">
                  <c:v>23.761933134170398</c:v>
                </c:pt>
                <c:pt idx="20">
                  <c:v>24.712807844471524</c:v>
                </c:pt>
                <c:pt idx="21">
                  <c:v>24.121238700601051</c:v>
                </c:pt>
                <c:pt idx="22">
                  <c:v>22.096033097221778</c:v>
                </c:pt>
                <c:pt idx="23">
                  <c:v>18.99617703506199</c:v>
                </c:pt>
                <c:pt idx="24">
                  <c:v>15.326934313898693</c:v>
                </c:pt>
                <c:pt idx="25">
                  <c:v>11.605973516800113</c:v>
                </c:pt>
                <c:pt idx="26">
                  <c:v>8.247931502101931</c:v>
                </c:pt>
                <c:pt idx="27">
                  <c:v>5.5010514533337078</c:v>
                </c:pt>
                <c:pt idx="28">
                  <c:v>3.4433689571274924</c:v>
                </c:pt>
                <c:pt idx="29">
                  <c:v>2.0228263576266885</c:v>
                </c:pt>
                <c:pt idx="30">
                  <c:v>1.1152464234862307</c:v>
                </c:pt>
                <c:pt idx="31">
                  <c:v>0.57705906226458425</c:v>
                </c:pt>
                <c:pt idx="32">
                  <c:v>0.28022500360437513</c:v>
                </c:pt>
                <c:pt idx="33">
                  <c:v>0.12771170190634773</c:v>
                </c:pt>
                <c:pt idx="34">
                  <c:v>5.4625030521970395E-2</c:v>
                </c:pt>
                <c:pt idx="35">
                  <c:v>2.192753859618838E-2</c:v>
                </c:pt>
                <c:pt idx="36">
                  <c:v>8.260860090477164E-3</c:v>
                </c:pt>
                <c:pt idx="37">
                  <c:v>2.9207732386792428E-3</c:v>
                </c:pt>
                <c:pt idx="38">
                  <c:v>9.6918705754862704E-4</c:v>
                </c:pt>
                <c:pt idx="39">
                  <c:v>3.0182455041691389E-4</c:v>
                </c:pt>
                <c:pt idx="40">
                  <c:v>8.8214242684523322E-5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5-425E-B76C-80829F73E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59984"/>
        <c:axId val="53061904"/>
      </c:lineChart>
      <c:catAx>
        <c:axId val="5305998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1904"/>
        <c:crosses val="autoZero"/>
        <c:auto val="1"/>
        <c:lblAlgn val="ctr"/>
        <c:lblOffset val="100"/>
        <c:noMultiLvlLbl val="0"/>
      </c:catAx>
      <c:valAx>
        <c:axId val="530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5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Standalone vs. Diversified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Charts!$O$1</c:f>
              <c:strCache>
                <c:ptCount val="1"/>
                <c:pt idx="0">
                  <c:v>Standalone VaR 95%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Charts!$N$2:$N$7</c:f>
              <c:strCache>
                <c:ptCount val="6"/>
                <c:pt idx="0">
                  <c:v>Nestle India</c:v>
                </c:pt>
                <c:pt idx="1">
                  <c:v>Pidilite Industries</c:v>
                </c:pt>
                <c:pt idx="2">
                  <c:v>Divi's Laboratories</c:v>
                </c:pt>
                <c:pt idx="3">
                  <c:v>Bosch Ltd</c:v>
                </c:pt>
                <c:pt idx="4">
                  <c:v>UltraTech Cement</c:v>
                </c:pt>
                <c:pt idx="5">
                  <c:v>Portfolio (diversified)</c:v>
                </c:pt>
              </c:strCache>
            </c:strRef>
          </c:cat>
          <c:val>
            <c:numRef>
              <c:f>Charts!$O$2:$O$7</c:f>
              <c:numCache>
                <c:formatCode>General</c:formatCode>
                <c:ptCount val="6"/>
                <c:pt idx="0" formatCode="#,##0">
                  <c:v>2177.6233725733068</c:v>
                </c:pt>
                <c:pt idx="1">
                  <c:v>2135.4764980909808</c:v>
                </c:pt>
                <c:pt idx="2">
                  <c:v>2301.7450298323574</c:v>
                </c:pt>
                <c:pt idx="3">
                  <c:v>3025.7816375806169</c:v>
                </c:pt>
                <c:pt idx="4">
                  <c:v>2368.6630318529628</c:v>
                </c:pt>
                <c:pt idx="5" formatCode="#,##0">
                  <c:v>12009.289569930224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E-488B-A4A6-CB388760F296}"/>
            </c:ext>
          </c:extLst>
        </c:ser>
        <c:ser>
          <c:idx val="1"/>
          <c:order val="1"/>
          <c:tx>
            <c:strRef>
              <c:f>Charts!$P$1</c:f>
              <c:strCache>
                <c:ptCount val="1"/>
                <c:pt idx="0">
                  <c:v>Param VaR 95% if diversified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Charts!$P$2:$P$7</c:f>
              <c:numCache>
                <c:formatCode>General</c:formatCode>
                <c:ptCount val="6"/>
                <c:pt idx="5" formatCode="#,##0">
                  <c:v>8013.6617623526236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2E-488B-A4A6-CB388760F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690912"/>
        <c:axId val="1702691392"/>
      </c:barChart>
      <c:catAx>
        <c:axId val="170269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91392"/>
        <c:crosses val="autoZero"/>
        <c:auto val="1"/>
        <c:lblAlgn val="ctr"/>
        <c:lblOffset val="100"/>
        <c:noMultiLvlLbl val="0"/>
      </c:catAx>
      <c:valAx>
        <c:axId val="17026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9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Rolling</a:t>
            </a:r>
            <a:r>
              <a:rPr lang="en-IN" baseline="0"/>
              <a:t> 30-day VaR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Charts!$I$1</c:f>
              <c:strCache>
                <c:ptCount val="1"/>
                <c:pt idx="0">
                  <c:v>Rolling VaR 95% (Rs)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Charts!$E$2:$E$248</c:f>
              <c:numCache>
                <c:formatCode>m/d/yyyy</c:formatCode>
                <c:ptCount val="247"/>
                <c:pt idx="0">
                  <c:v>46185</c:v>
                </c:pt>
                <c:pt idx="1">
                  <c:v>46184</c:v>
                </c:pt>
                <c:pt idx="2">
                  <c:v>46183</c:v>
                </c:pt>
                <c:pt idx="3">
                  <c:v>46182</c:v>
                </c:pt>
                <c:pt idx="4">
                  <c:v>46181</c:v>
                </c:pt>
                <c:pt idx="5">
                  <c:v>46178</c:v>
                </c:pt>
                <c:pt idx="6">
                  <c:v>46177</c:v>
                </c:pt>
                <c:pt idx="7">
                  <c:v>46176</c:v>
                </c:pt>
                <c:pt idx="8">
                  <c:v>46175</c:v>
                </c:pt>
                <c:pt idx="9">
                  <c:v>46174</c:v>
                </c:pt>
                <c:pt idx="10">
                  <c:v>46171</c:v>
                </c:pt>
                <c:pt idx="11">
                  <c:v>46169</c:v>
                </c:pt>
                <c:pt idx="12">
                  <c:v>46168</c:v>
                </c:pt>
                <c:pt idx="13">
                  <c:v>46167</c:v>
                </c:pt>
                <c:pt idx="14">
                  <c:v>46164</c:v>
                </c:pt>
                <c:pt idx="15">
                  <c:v>46163</c:v>
                </c:pt>
                <c:pt idx="16">
                  <c:v>46162</c:v>
                </c:pt>
                <c:pt idx="17">
                  <c:v>46161</c:v>
                </c:pt>
                <c:pt idx="18">
                  <c:v>46160</c:v>
                </c:pt>
                <c:pt idx="19">
                  <c:v>46157</c:v>
                </c:pt>
                <c:pt idx="20">
                  <c:v>46156</c:v>
                </c:pt>
                <c:pt idx="21">
                  <c:v>46155</c:v>
                </c:pt>
                <c:pt idx="22">
                  <c:v>46154</c:v>
                </c:pt>
                <c:pt idx="23">
                  <c:v>46153</c:v>
                </c:pt>
                <c:pt idx="24">
                  <c:v>46150</c:v>
                </c:pt>
                <c:pt idx="25">
                  <c:v>46149</c:v>
                </c:pt>
                <c:pt idx="26">
                  <c:v>46148</c:v>
                </c:pt>
                <c:pt idx="27">
                  <c:v>46147</c:v>
                </c:pt>
                <c:pt idx="28">
                  <c:v>46146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46125</c:v>
                </c:pt>
                <c:pt idx="42">
                  <c:v>46122</c:v>
                </c:pt>
                <c:pt idx="43">
                  <c:v>46121</c:v>
                </c:pt>
                <c:pt idx="44">
                  <c:v>46120</c:v>
                </c:pt>
                <c:pt idx="45">
                  <c:v>46119</c:v>
                </c:pt>
                <c:pt idx="46">
                  <c:v>46118</c:v>
                </c:pt>
                <c:pt idx="47">
                  <c:v>46114</c:v>
                </c:pt>
                <c:pt idx="48">
                  <c:v>46113</c:v>
                </c:pt>
                <c:pt idx="49">
                  <c:v>46111</c:v>
                </c:pt>
                <c:pt idx="50">
                  <c:v>46108</c:v>
                </c:pt>
                <c:pt idx="51">
                  <c:v>46106</c:v>
                </c:pt>
                <c:pt idx="52">
                  <c:v>46105</c:v>
                </c:pt>
                <c:pt idx="53">
                  <c:v>46104</c:v>
                </c:pt>
                <c:pt idx="54">
                  <c:v>46101</c:v>
                </c:pt>
                <c:pt idx="55">
                  <c:v>46100</c:v>
                </c:pt>
                <c:pt idx="56">
                  <c:v>46099</c:v>
                </c:pt>
                <c:pt idx="57">
                  <c:v>46098</c:v>
                </c:pt>
                <c:pt idx="58">
                  <c:v>46097</c:v>
                </c:pt>
                <c:pt idx="59">
                  <c:v>46094</c:v>
                </c:pt>
                <c:pt idx="60">
                  <c:v>46093</c:v>
                </c:pt>
                <c:pt idx="61">
                  <c:v>46092</c:v>
                </c:pt>
                <c:pt idx="62">
                  <c:v>46091</c:v>
                </c:pt>
                <c:pt idx="63">
                  <c:v>46090</c:v>
                </c:pt>
                <c:pt idx="64">
                  <c:v>46087</c:v>
                </c:pt>
                <c:pt idx="65">
                  <c:v>46086</c:v>
                </c:pt>
                <c:pt idx="66">
                  <c:v>46085</c:v>
                </c:pt>
                <c:pt idx="67">
                  <c:v>46083</c:v>
                </c:pt>
                <c:pt idx="68">
                  <c:v>46080</c:v>
                </c:pt>
                <c:pt idx="69">
                  <c:v>46079</c:v>
                </c:pt>
                <c:pt idx="70">
                  <c:v>46078</c:v>
                </c:pt>
                <c:pt idx="71">
                  <c:v>46077</c:v>
                </c:pt>
                <c:pt idx="72">
                  <c:v>46076</c:v>
                </c:pt>
                <c:pt idx="73">
                  <c:v>46073</c:v>
                </c:pt>
                <c:pt idx="74">
                  <c:v>46072</c:v>
                </c:pt>
                <c:pt idx="75">
                  <c:v>46071</c:v>
                </c:pt>
                <c:pt idx="76">
                  <c:v>46070</c:v>
                </c:pt>
                <c:pt idx="77">
                  <c:v>46069</c:v>
                </c:pt>
                <c:pt idx="78">
                  <c:v>46066</c:v>
                </c:pt>
                <c:pt idx="79">
                  <c:v>46065</c:v>
                </c:pt>
                <c:pt idx="80">
                  <c:v>46064</c:v>
                </c:pt>
                <c:pt idx="81">
                  <c:v>46063</c:v>
                </c:pt>
                <c:pt idx="82">
                  <c:v>46062</c:v>
                </c:pt>
                <c:pt idx="83">
                  <c:v>46059</c:v>
                </c:pt>
                <c:pt idx="84">
                  <c:v>46058</c:v>
                </c:pt>
                <c:pt idx="85">
                  <c:v>46057</c:v>
                </c:pt>
                <c:pt idx="86">
                  <c:v>46056</c:v>
                </c:pt>
                <c:pt idx="87">
                  <c:v>46055</c:v>
                </c:pt>
                <c:pt idx="88">
                  <c:v>46054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46045</c:v>
                </c:pt>
                <c:pt idx="94">
                  <c:v>46044</c:v>
                </c:pt>
                <c:pt idx="95">
                  <c:v>46043</c:v>
                </c:pt>
                <c:pt idx="96">
                  <c:v>46042</c:v>
                </c:pt>
                <c:pt idx="97">
                  <c:v>46041</c:v>
                </c:pt>
                <c:pt idx="98">
                  <c:v>46038</c:v>
                </c:pt>
                <c:pt idx="99">
                  <c:v>46036</c:v>
                </c:pt>
                <c:pt idx="100">
                  <c:v>46035</c:v>
                </c:pt>
                <c:pt idx="101">
                  <c:v>46034</c:v>
                </c:pt>
                <c:pt idx="102">
                  <c:v>46031</c:v>
                </c:pt>
                <c:pt idx="103">
                  <c:v>46030</c:v>
                </c:pt>
                <c:pt idx="104">
                  <c:v>46029</c:v>
                </c:pt>
                <c:pt idx="105">
                  <c:v>46028</c:v>
                </c:pt>
                <c:pt idx="106">
                  <c:v>46027</c:v>
                </c:pt>
                <c:pt idx="107">
                  <c:v>46024</c:v>
                </c:pt>
                <c:pt idx="108">
                  <c:v>46023</c:v>
                </c:pt>
                <c:pt idx="109">
                  <c:v>46022</c:v>
                </c:pt>
                <c:pt idx="110">
                  <c:v>46021</c:v>
                </c:pt>
                <c:pt idx="111">
                  <c:v>46020</c:v>
                </c:pt>
                <c:pt idx="112">
                  <c:v>46017</c:v>
                </c:pt>
                <c:pt idx="113">
                  <c:v>46015</c:v>
                </c:pt>
                <c:pt idx="114">
                  <c:v>46014</c:v>
                </c:pt>
                <c:pt idx="115">
                  <c:v>46013</c:v>
                </c:pt>
                <c:pt idx="116">
                  <c:v>46010</c:v>
                </c:pt>
                <c:pt idx="117">
                  <c:v>46009</c:v>
                </c:pt>
                <c:pt idx="118">
                  <c:v>46008</c:v>
                </c:pt>
                <c:pt idx="119">
                  <c:v>46007</c:v>
                </c:pt>
                <c:pt idx="120">
                  <c:v>46006</c:v>
                </c:pt>
                <c:pt idx="121">
                  <c:v>46003</c:v>
                </c:pt>
                <c:pt idx="122">
                  <c:v>46002</c:v>
                </c:pt>
                <c:pt idx="123">
                  <c:v>46001</c:v>
                </c:pt>
                <c:pt idx="124">
                  <c:v>46000</c:v>
                </c:pt>
                <c:pt idx="125">
                  <c:v>45999</c:v>
                </c:pt>
                <c:pt idx="126">
                  <c:v>45996</c:v>
                </c:pt>
                <c:pt idx="127">
                  <c:v>45995</c:v>
                </c:pt>
                <c:pt idx="128">
                  <c:v>45994</c:v>
                </c:pt>
                <c:pt idx="129">
                  <c:v>45993</c:v>
                </c:pt>
                <c:pt idx="130">
                  <c:v>45992</c:v>
                </c:pt>
                <c:pt idx="131">
                  <c:v>45989</c:v>
                </c:pt>
                <c:pt idx="132">
                  <c:v>45988</c:v>
                </c:pt>
                <c:pt idx="133">
                  <c:v>45987</c:v>
                </c:pt>
                <c:pt idx="134">
                  <c:v>45986</c:v>
                </c:pt>
                <c:pt idx="135">
                  <c:v>45985</c:v>
                </c:pt>
                <c:pt idx="136">
                  <c:v>45982</c:v>
                </c:pt>
                <c:pt idx="137">
                  <c:v>45981</c:v>
                </c:pt>
                <c:pt idx="138">
                  <c:v>45980</c:v>
                </c:pt>
                <c:pt idx="139">
                  <c:v>45979</c:v>
                </c:pt>
                <c:pt idx="140">
                  <c:v>45978</c:v>
                </c:pt>
                <c:pt idx="141">
                  <c:v>45975</c:v>
                </c:pt>
                <c:pt idx="142">
                  <c:v>45974</c:v>
                </c:pt>
                <c:pt idx="143">
                  <c:v>45973</c:v>
                </c:pt>
                <c:pt idx="144">
                  <c:v>45972</c:v>
                </c:pt>
                <c:pt idx="145">
                  <c:v>45971</c:v>
                </c:pt>
                <c:pt idx="146">
                  <c:v>45968</c:v>
                </c:pt>
                <c:pt idx="147">
                  <c:v>45967</c:v>
                </c:pt>
                <c:pt idx="148">
                  <c:v>45965</c:v>
                </c:pt>
                <c:pt idx="149">
                  <c:v>45964</c:v>
                </c:pt>
                <c:pt idx="150">
                  <c:v>45961</c:v>
                </c:pt>
                <c:pt idx="151">
                  <c:v>45960</c:v>
                </c:pt>
                <c:pt idx="152">
                  <c:v>45959</c:v>
                </c:pt>
                <c:pt idx="153">
                  <c:v>45958</c:v>
                </c:pt>
                <c:pt idx="154">
                  <c:v>45957</c:v>
                </c:pt>
                <c:pt idx="155">
                  <c:v>45954</c:v>
                </c:pt>
                <c:pt idx="156">
                  <c:v>45953</c:v>
                </c:pt>
                <c:pt idx="157">
                  <c:v>45951</c:v>
                </c:pt>
                <c:pt idx="158">
                  <c:v>45950</c:v>
                </c:pt>
                <c:pt idx="159">
                  <c:v>45947</c:v>
                </c:pt>
                <c:pt idx="160">
                  <c:v>45946</c:v>
                </c:pt>
                <c:pt idx="161">
                  <c:v>45945</c:v>
                </c:pt>
                <c:pt idx="162">
                  <c:v>45944</c:v>
                </c:pt>
                <c:pt idx="163">
                  <c:v>45943</c:v>
                </c:pt>
                <c:pt idx="164">
                  <c:v>45940</c:v>
                </c:pt>
                <c:pt idx="165">
                  <c:v>45939</c:v>
                </c:pt>
                <c:pt idx="166">
                  <c:v>45938</c:v>
                </c:pt>
                <c:pt idx="167">
                  <c:v>45937</c:v>
                </c:pt>
                <c:pt idx="168">
                  <c:v>45936</c:v>
                </c:pt>
                <c:pt idx="169">
                  <c:v>45933</c:v>
                </c:pt>
                <c:pt idx="170">
                  <c:v>45931</c:v>
                </c:pt>
                <c:pt idx="171">
                  <c:v>45930</c:v>
                </c:pt>
                <c:pt idx="172">
                  <c:v>45929</c:v>
                </c:pt>
                <c:pt idx="173">
                  <c:v>45926</c:v>
                </c:pt>
                <c:pt idx="174">
                  <c:v>45925</c:v>
                </c:pt>
                <c:pt idx="175">
                  <c:v>45924</c:v>
                </c:pt>
                <c:pt idx="176">
                  <c:v>45923</c:v>
                </c:pt>
                <c:pt idx="177">
                  <c:v>45922</c:v>
                </c:pt>
                <c:pt idx="178">
                  <c:v>45919</c:v>
                </c:pt>
                <c:pt idx="179">
                  <c:v>45918</c:v>
                </c:pt>
                <c:pt idx="180">
                  <c:v>45917</c:v>
                </c:pt>
                <c:pt idx="181">
                  <c:v>45916</c:v>
                </c:pt>
                <c:pt idx="182">
                  <c:v>45915</c:v>
                </c:pt>
                <c:pt idx="183">
                  <c:v>45912</c:v>
                </c:pt>
                <c:pt idx="184">
                  <c:v>45911</c:v>
                </c:pt>
                <c:pt idx="185">
                  <c:v>45910</c:v>
                </c:pt>
                <c:pt idx="186">
                  <c:v>45909</c:v>
                </c:pt>
                <c:pt idx="187">
                  <c:v>45908</c:v>
                </c:pt>
                <c:pt idx="188">
                  <c:v>45905</c:v>
                </c:pt>
                <c:pt idx="189">
                  <c:v>45904</c:v>
                </c:pt>
                <c:pt idx="190">
                  <c:v>45903</c:v>
                </c:pt>
                <c:pt idx="191">
                  <c:v>45902</c:v>
                </c:pt>
                <c:pt idx="192">
                  <c:v>45901</c:v>
                </c:pt>
                <c:pt idx="193">
                  <c:v>45898</c:v>
                </c:pt>
                <c:pt idx="194">
                  <c:v>45897</c:v>
                </c:pt>
                <c:pt idx="195">
                  <c:v>45895</c:v>
                </c:pt>
                <c:pt idx="196">
                  <c:v>45894</c:v>
                </c:pt>
                <c:pt idx="197">
                  <c:v>45891</c:v>
                </c:pt>
                <c:pt idx="198">
                  <c:v>45890</c:v>
                </c:pt>
                <c:pt idx="199">
                  <c:v>45889</c:v>
                </c:pt>
                <c:pt idx="200">
                  <c:v>45888</c:v>
                </c:pt>
                <c:pt idx="201">
                  <c:v>45887</c:v>
                </c:pt>
                <c:pt idx="202">
                  <c:v>45883</c:v>
                </c:pt>
                <c:pt idx="203">
                  <c:v>45882</c:v>
                </c:pt>
                <c:pt idx="204">
                  <c:v>45881</c:v>
                </c:pt>
                <c:pt idx="205">
                  <c:v>45880</c:v>
                </c:pt>
                <c:pt idx="206">
                  <c:v>45877</c:v>
                </c:pt>
                <c:pt idx="207">
                  <c:v>45876</c:v>
                </c:pt>
                <c:pt idx="208">
                  <c:v>45875</c:v>
                </c:pt>
                <c:pt idx="209">
                  <c:v>45874</c:v>
                </c:pt>
                <c:pt idx="210">
                  <c:v>45873</c:v>
                </c:pt>
                <c:pt idx="211">
                  <c:v>45870</c:v>
                </c:pt>
                <c:pt idx="212">
                  <c:v>45869</c:v>
                </c:pt>
                <c:pt idx="213">
                  <c:v>45868</c:v>
                </c:pt>
                <c:pt idx="214">
                  <c:v>45867</c:v>
                </c:pt>
                <c:pt idx="215">
                  <c:v>45866</c:v>
                </c:pt>
                <c:pt idx="216">
                  <c:v>45863</c:v>
                </c:pt>
                <c:pt idx="217">
                  <c:v>45862</c:v>
                </c:pt>
                <c:pt idx="218">
                  <c:v>45861</c:v>
                </c:pt>
                <c:pt idx="219">
                  <c:v>45860</c:v>
                </c:pt>
                <c:pt idx="220">
                  <c:v>45859</c:v>
                </c:pt>
                <c:pt idx="221">
                  <c:v>45856</c:v>
                </c:pt>
                <c:pt idx="222">
                  <c:v>45855</c:v>
                </c:pt>
                <c:pt idx="223">
                  <c:v>45854</c:v>
                </c:pt>
                <c:pt idx="224">
                  <c:v>45853</c:v>
                </c:pt>
                <c:pt idx="225">
                  <c:v>45852</c:v>
                </c:pt>
                <c:pt idx="226">
                  <c:v>45849</c:v>
                </c:pt>
                <c:pt idx="227">
                  <c:v>45848</c:v>
                </c:pt>
                <c:pt idx="228">
                  <c:v>45847</c:v>
                </c:pt>
                <c:pt idx="229">
                  <c:v>45846</c:v>
                </c:pt>
                <c:pt idx="230">
                  <c:v>45845</c:v>
                </c:pt>
                <c:pt idx="231">
                  <c:v>45842</c:v>
                </c:pt>
                <c:pt idx="232">
                  <c:v>45841</c:v>
                </c:pt>
                <c:pt idx="233">
                  <c:v>45840</c:v>
                </c:pt>
                <c:pt idx="234">
                  <c:v>45839</c:v>
                </c:pt>
                <c:pt idx="235">
                  <c:v>45838</c:v>
                </c:pt>
                <c:pt idx="236">
                  <c:v>45835</c:v>
                </c:pt>
                <c:pt idx="237">
                  <c:v>45834</c:v>
                </c:pt>
                <c:pt idx="238">
                  <c:v>45833</c:v>
                </c:pt>
                <c:pt idx="239">
                  <c:v>45832</c:v>
                </c:pt>
                <c:pt idx="240">
                  <c:v>45831</c:v>
                </c:pt>
                <c:pt idx="241">
                  <c:v>45828</c:v>
                </c:pt>
                <c:pt idx="242">
                  <c:v>45827</c:v>
                </c:pt>
                <c:pt idx="243">
                  <c:v>45826</c:v>
                </c:pt>
                <c:pt idx="244">
                  <c:v>45825</c:v>
                </c:pt>
                <c:pt idx="245">
                  <c:v>45824</c:v>
                </c:pt>
                <c:pt idx="246">
                  <c:v>45821</c:v>
                </c:pt>
              </c:numCache>
            </c:numRef>
          </c:cat>
          <c:val>
            <c:numRef>
              <c:f>Charts!$I$2:$I$248</c:f>
              <c:numCache>
                <c:formatCode>General</c:formatCode>
                <c:ptCount val="247"/>
                <c:pt idx="0">
                  <c:v>5817.3162043260872</c:v>
                </c:pt>
                <c:pt idx="1">
                  <c:v>5817.3162043260872</c:v>
                </c:pt>
                <c:pt idx="2">
                  <c:v>5817.3162043260872</c:v>
                </c:pt>
                <c:pt idx="3">
                  <c:v>5817.3162043260872</c:v>
                </c:pt>
                <c:pt idx="4">
                  <c:v>5817.3162043260872</c:v>
                </c:pt>
                <c:pt idx="5">
                  <c:v>5817.3162043260872</c:v>
                </c:pt>
                <c:pt idx="6">
                  <c:v>5817.3162043260872</c:v>
                </c:pt>
                <c:pt idx="7">
                  <c:v>5817.3162043260872</c:v>
                </c:pt>
                <c:pt idx="8">
                  <c:v>5817.3162043260872</c:v>
                </c:pt>
                <c:pt idx="9">
                  <c:v>5817.3162043260872</c:v>
                </c:pt>
                <c:pt idx="10">
                  <c:v>5492.7964597571945</c:v>
                </c:pt>
                <c:pt idx="11">
                  <c:v>5492.7964597571945</c:v>
                </c:pt>
                <c:pt idx="12">
                  <c:v>5817.3162043260872</c:v>
                </c:pt>
                <c:pt idx="13">
                  <c:v>5817.3162043260872</c:v>
                </c:pt>
                <c:pt idx="14">
                  <c:v>5817.3162043260872</c:v>
                </c:pt>
                <c:pt idx="15">
                  <c:v>5817.3162043260872</c:v>
                </c:pt>
                <c:pt idx="16">
                  <c:v>5817.3162043260872</c:v>
                </c:pt>
                <c:pt idx="17">
                  <c:v>5817.3162043260872</c:v>
                </c:pt>
                <c:pt idx="18">
                  <c:v>5817.3162043260872</c:v>
                </c:pt>
                <c:pt idx="19">
                  <c:v>5817.3162043260872</c:v>
                </c:pt>
                <c:pt idx="20">
                  <c:v>6784.8404363350146</c:v>
                </c:pt>
                <c:pt idx="21">
                  <c:v>8108.8441074151897</c:v>
                </c:pt>
                <c:pt idx="22">
                  <c:v>8108.8441074151897</c:v>
                </c:pt>
                <c:pt idx="23">
                  <c:v>8108.8441074151897</c:v>
                </c:pt>
                <c:pt idx="24">
                  <c:v>9737.255103700445</c:v>
                </c:pt>
                <c:pt idx="25">
                  <c:v>9737.255103700445</c:v>
                </c:pt>
                <c:pt idx="26">
                  <c:v>13230.469274683377</c:v>
                </c:pt>
                <c:pt idx="27">
                  <c:v>13230.469274683377</c:v>
                </c:pt>
                <c:pt idx="28">
                  <c:v>13230.469274683377</c:v>
                </c:pt>
                <c:pt idx="29">
                  <c:v>13230.469274683377</c:v>
                </c:pt>
                <c:pt idx="30">
                  <c:v>15842.060117357136</c:v>
                </c:pt>
                <c:pt idx="31">
                  <c:v>15842.060117357136</c:v>
                </c:pt>
                <c:pt idx="32">
                  <c:v>15842.060117357136</c:v>
                </c:pt>
                <c:pt idx="33">
                  <c:v>15842.060117357136</c:v>
                </c:pt>
                <c:pt idx="34">
                  <c:v>15842.060117357136</c:v>
                </c:pt>
                <c:pt idx="35">
                  <c:v>15842.060117357136</c:v>
                </c:pt>
                <c:pt idx="36">
                  <c:v>15842.060117357136</c:v>
                </c:pt>
                <c:pt idx="37">
                  <c:v>15842.060117357136</c:v>
                </c:pt>
                <c:pt idx="38">
                  <c:v>15842.060117357136</c:v>
                </c:pt>
                <c:pt idx="39">
                  <c:v>15842.060117357136</c:v>
                </c:pt>
                <c:pt idx="40">
                  <c:v>15842.060117357136</c:v>
                </c:pt>
                <c:pt idx="41">
                  <c:v>15842.060117357136</c:v>
                </c:pt>
                <c:pt idx="42">
                  <c:v>15842.060117357136</c:v>
                </c:pt>
                <c:pt idx="43">
                  <c:v>15842.060117357136</c:v>
                </c:pt>
                <c:pt idx="44">
                  <c:v>15842.060117357136</c:v>
                </c:pt>
                <c:pt idx="45">
                  <c:v>15842.060117357136</c:v>
                </c:pt>
                <c:pt idx="46">
                  <c:v>15842.060117357136</c:v>
                </c:pt>
                <c:pt idx="47">
                  <c:v>15842.060117357136</c:v>
                </c:pt>
                <c:pt idx="48">
                  <c:v>15842.060117357136</c:v>
                </c:pt>
                <c:pt idx="49">
                  <c:v>15842.060117357136</c:v>
                </c:pt>
                <c:pt idx="50">
                  <c:v>15842.060117357136</c:v>
                </c:pt>
                <c:pt idx="51">
                  <c:v>15842.060117357136</c:v>
                </c:pt>
                <c:pt idx="52">
                  <c:v>15842.060117357136</c:v>
                </c:pt>
                <c:pt idx="53">
                  <c:v>15842.060117357136</c:v>
                </c:pt>
                <c:pt idx="54">
                  <c:v>15774.035402190731</c:v>
                </c:pt>
                <c:pt idx="55">
                  <c:v>15774.035402190731</c:v>
                </c:pt>
                <c:pt idx="56">
                  <c:v>15111.261293218751</c:v>
                </c:pt>
                <c:pt idx="57">
                  <c:v>15111.261293218751</c:v>
                </c:pt>
                <c:pt idx="58">
                  <c:v>15111.261293218751</c:v>
                </c:pt>
                <c:pt idx="59">
                  <c:v>15111.261293218751</c:v>
                </c:pt>
                <c:pt idx="60">
                  <c:v>12345.890247305184</c:v>
                </c:pt>
                <c:pt idx="61">
                  <c:v>12345.890247305184</c:v>
                </c:pt>
                <c:pt idx="62">
                  <c:v>12345.890247305184</c:v>
                </c:pt>
                <c:pt idx="63">
                  <c:v>12345.890247305184</c:v>
                </c:pt>
                <c:pt idx="64">
                  <c:v>8539.0043898259864</c:v>
                </c:pt>
                <c:pt idx="65">
                  <c:v>8539.0043898259864</c:v>
                </c:pt>
                <c:pt idx="66">
                  <c:v>8539.0043898259864</c:v>
                </c:pt>
                <c:pt idx="67">
                  <c:v>8539.0043898259864</c:v>
                </c:pt>
                <c:pt idx="68">
                  <c:v>8539.0043898259864</c:v>
                </c:pt>
                <c:pt idx="69">
                  <c:v>8539.0043898259864</c:v>
                </c:pt>
                <c:pt idx="70">
                  <c:v>8539.0043898259864</c:v>
                </c:pt>
                <c:pt idx="71">
                  <c:v>8539.0043898259864</c:v>
                </c:pt>
                <c:pt idx="72">
                  <c:v>8539.0043898259864</c:v>
                </c:pt>
                <c:pt idx="73">
                  <c:v>8539.0043898259864</c:v>
                </c:pt>
                <c:pt idx="74">
                  <c:v>8539.0043898259864</c:v>
                </c:pt>
                <c:pt idx="75">
                  <c:v>7627.6851977445385</c:v>
                </c:pt>
                <c:pt idx="76">
                  <c:v>7627.6851977445385</c:v>
                </c:pt>
                <c:pt idx="77">
                  <c:v>7627.6851977445385</c:v>
                </c:pt>
                <c:pt idx="78">
                  <c:v>7627.6851977445385</c:v>
                </c:pt>
                <c:pt idx="79">
                  <c:v>7522.1219490169742</c:v>
                </c:pt>
                <c:pt idx="80">
                  <c:v>7522.1219490169742</c:v>
                </c:pt>
                <c:pt idx="81">
                  <c:v>7522.1219490169742</c:v>
                </c:pt>
                <c:pt idx="82">
                  <c:v>7522.1219490169742</c:v>
                </c:pt>
                <c:pt idx="83">
                  <c:v>7522.1219490169742</c:v>
                </c:pt>
                <c:pt idx="84">
                  <c:v>7522.1219490169742</c:v>
                </c:pt>
                <c:pt idx="85">
                  <c:v>7522.1219490169742</c:v>
                </c:pt>
                <c:pt idx="86">
                  <c:v>7522.1219490169742</c:v>
                </c:pt>
                <c:pt idx="87">
                  <c:v>7522.1219490169742</c:v>
                </c:pt>
                <c:pt idx="88">
                  <c:v>7522.1219490169742</c:v>
                </c:pt>
                <c:pt idx="89">
                  <c:v>5061.767469010475</c:v>
                </c:pt>
                <c:pt idx="90">
                  <c:v>5061.767469010475</c:v>
                </c:pt>
                <c:pt idx="91">
                  <c:v>4311.0524274353775</c:v>
                </c:pt>
                <c:pt idx="92">
                  <c:v>4311.0524274353775</c:v>
                </c:pt>
                <c:pt idx="93">
                  <c:v>4311.0524274353775</c:v>
                </c:pt>
                <c:pt idx="94">
                  <c:v>4311.0524274353775</c:v>
                </c:pt>
                <c:pt idx="95">
                  <c:v>4311.0524274353775</c:v>
                </c:pt>
                <c:pt idx="96">
                  <c:v>6061.5281360951103</c:v>
                </c:pt>
                <c:pt idx="97">
                  <c:v>4311.0524274353775</c:v>
                </c:pt>
                <c:pt idx="98">
                  <c:v>4311.0524274353775</c:v>
                </c:pt>
                <c:pt idx="99">
                  <c:v>4311.0524274353775</c:v>
                </c:pt>
                <c:pt idx="100">
                  <c:v>4311.0524274353775</c:v>
                </c:pt>
                <c:pt idx="101">
                  <c:v>4311.0524274353775</c:v>
                </c:pt>
                <c:pt idx="102">
                  <c:v>4311.0524274353775</c:v>
                </c:pt>
                <c:pt idx="103">
                  <c:v>4047.4999529188422</c:v>
                </c:pt>
                <c:pt idx="104">
                  <c:v>3397.0492082203423</c:v>
                </c:pt>
                <c:pt idx="105">
                  <c:v>3397.0492082203423</c:v>
                </c:pt>
                <c:pt idx="106">
                  <c:v>3777.6603944828198</c:v>
                </c:pt>
                <c:pt idx="107">
                  <c:v>4063.3116972572598</c:v>
                </c:pt>
                <c:pt idx="108">
                  <c:v>4063.3116972572598</c:v>
                </c:pt>
                <c:pt idx="109">
                  <c:v>4063.3116972572598</c:v>
                </c:pt>
                <c:pt idx="110">
                  <c:v>4063.3116972572598</c:v>
                </c:pt>
                <c:pt idx="111">
                  <c:v>4063.3116972572598</c:v>
                </c:pt>
                <c:pt idx="112">
                  <c:v>4472.0139911301894</c:v>
                </c:pt>
                <c:pt idx="113">
                  <c:v>4472.0139911301894</c:v>
                </c:pt>
                <c:pt idx="114">
                  <c:v>4472.0139911301894</c:v>
                </c:pt>
                <c:pt idx="115">
                  <c:v>4472.0139911301894</c:v>
                </c:pt>
                <c:pt idx="116">
                  <c:v>4472.0139911301894</c:v>
                </c:pt>
                <c:pt idx="117">
                  <c:v>4481.1622636656803</c:v>
                </c:pt>
                <c:pt idx="118">
                  <c:v>4481.1622636656803</c:v>
                </c:pt>
                <c:pt idx="119">
                  <c:v>4481.1622636656803</c:v>
                </c:pt>
                <c:pt idx="120">
                  <c:v>4481.1622636656803</c:v>
                </c:pt>
                <c:pt idx="121">
                  <c:v>4481.1622636656803</c:v>
                </c:pt>
                <c:pt idx="122">
                  <c:v>4481.1622636656803</c:v>
                </c:pt>
                <c:pt idx="123">
                  <c:v>4481.1622636656803</c:v>
                </c:pt>
                <c:pt idx="124">
                  <c:v>4601.7471954130706</c:v>
                </c:pt>
                <c:pt idx="125">
                  <c:v>4601.7471954130706</c:v>
                </c:pt>
                <c:pt idx="126">
                  <c:v>4366.7947195813649</c:v>
                </c:pt>
                <c:pt idx="127">
                  <c:v>4530.8663440047267</c:v>
                </c:pt>
                <c:pt idx="128">
                  <c:v>4530.8663440047267</c:v>
                </c:pt>
                <c:pt idx="129">
                  <c:v>4530.8663440047267</c:v>
                </c:pt>
                <c:pt idx="130">
                  <c:v>4530.8663440047267</c:v>
                </c:pt>
                <c:pt idx="131">
                  <c:v>4530.8663440047267</c:v>
                </c:pt>
                <c:pt idx="132">
                  <c:v>4530.8663440047267</c:v>
                </c:pt>
                <c:pt idx="133">
                  <c:v>4614.1142197672298</c:v>
                </c:pt>
                <c:pt idx="134">
                  <c:v>4614.1142197672298</c:v>
                </c:pt>
                <c:pt idx="135">
                  <c:v>4614.1142197672298</c:v>
                </c:pt>
                <c:pt idx="136">
                  <c:v>4614.1142197672298</c:v>
                </c:pt>
                <c:pt idx="137">
                  <c:v>4614.1142197672298</c:v>
                </c:pt>
                <c:pt idx="138">
                  <c:v>4614.1142197672298</c:v>
                </c:pt>
                <c:pt idx="139">
                  <c:v>4614.1142197672298</c:v>
                </c:pt>
                <c:pt idx="140">
                  <c:v>4614.1142197672298</c:v>
                </c:pt>
                <c:pt idx="141">
                  <c:v>4614.1142197672298</c:v>
                </c:pt>
                <c:pt idx="142">
                  <c:v>4530.8663440047267</c:v>
                </c:pt>
                <c:pt idx="143">
                  <c:v>4530.8663440047267</c:v>
                </c:pt>
                <c:pt idx="144">
                  <c:v>4614.1142197672298</c:v>
                </c:pt>
                <c:pt idx="145">
                  <c:v>4757.6693182223025</c:v>
                </c:pt>
                <c:pt idx="146">
                  <c:v>4757.6693182223025</c:v>
                </c:pt>
                <c:pt idx="147">
                  <c:v>5850.9245020174103</c:v>
                </c:pt>
                <c:pt idx="148">
                  <c:v>5850.9245020174103</c:v>
                </c:pt>
                <c:pt idx="149">
                  <c:v>5850.9245020174103</c:v>
                </c:pt>
                <c:pt idx="150">
                  <c:v>5850.9245020174103</c:v>
                </c:pt>
                <c:pt idx="151">
                  <c:v>5850.9245020174103</c:v>
                </c:pt>
                <c:pt idx="152">
                  <c:v>5850.9245020174103</c:v>
                </c:pt>
                <c:pt idx="153">
                  <c:v>5850.9245020174103</c:v>
                </c:pt>
                <c:pt idx="154">
                  <c:v>5850.9245020174103</c:v>
                </c:pt>
                <c:pt idx="155">
                  <c:v>5850.9245020174103</c:v>
                </c:pt>
                <c:pt idx="156">
                  <c:v>5850.9245020174103</c:v>
                </c:pt>
                <c:pt idx="157">
                  <c:v>5850.9245020174103</c:v>
                </c:pt>
                <c:pt idx="158">
                  <c:v>5850.9245020174103</c:v>
                </c:pt>
                <c:pt idx="159">
                  <c:v>5850.9245020174103</c:v>
                </c:pt>
                <c:pt idx="160">
                  <c:v>5850.9245020174103</c:v>
                </c:pt>
                <c:pt idx="161">
                  <c:v>5850.9245020174103</c:v>
                </c:pt>
                <c:pt idx="162">
                  <c:v>5850.9245020174103</c:v>
                </c:pt>
                <c:pt idx="163">
                  <c:v>5850.9245020174103</c:v>
                </c:pt>
                <c:pt idx="164">
                  <c:v>5850.9245020174103</c:v>
                </c:pt>
                <c:pt idx="165">
                  <c:v>5850.9245020174103</c:v>
                </c:pt>
                <c:pt idx="166">
                  <c:v>5850.9245020174103</c:v>
                </c:pt>
                <c:pt idx="167">
                  <c:v>5850.9245020174103</c:v>
                </c:pt>
                <c:pt idx="168">
                  <c:v>5850.9245020174103</c:v>
                </c:pt>
                <c:pt idx="169">
                  <c:v>5850.9245020174103</c:v>
                </c:pt>
                <c:pt idx="170">
                  <c:v>5850.9245020174103</c:v>
                </c:pt>
                <c:pt idx="171">
                  <c:v>5850.9245020174103</c:v>
                </c:pt>
                <c:pt idx="172">
                  <c:v>5850.9245020174103</c:v>
                </c:pt>
                <c:pt idx="173">
                  <c:v>5850.9245020174103</c:v>
                </c:pt>
                <c:pt idx="174">
                  <c:v>4365.1144517969606</c:v>
                </c:pt>
                <c:pt idx="175">
                  <c:v>3482.6916884717307</c:v>
                </c:pt>
                <c:pt idx="176">
                  <c:v>3482.6916884717307</c:v>
                </c:pt>
                <c:pt idx="177">
                  <c:v>3482.6916884717307</c:v>
                </c:pt>
                <c:pt idx="178">
                  <c:v>3482.6916884717307</c:v>
                </c:pt>
                <c:pt idx="179">
                  <c:v>5082.9503033981946</c:v>
                </c:pt>
                <c:pt idx="180">
                  <c:v>5082.9503033981946</c:v>
                </c:pt>
                <c:pt idx="181">
                  <c:v>5082.9503033981946</c:v>
                </c:pt>
                <c:pt idx="182">
                  <c:v>5161.2618243066763</c:v>
                </c:pt>
                <c:pt idx="183">
                  <c:v>5161.2618243066763</c:v>
                </c:pt>
                <c:pt idx="184">
                  <c:v>5161.2618243066763</c:v>
                </c:pt>
                <c:pt idx="185">
                  <c:v>5161.2618243066763</c:v>
                </c:pt>
                <c:pt idx="186">
                  <c:v>5161.2618243066763</c:v>
                </c:pt>
                <c:pt idx="187">
                  <c:v>5161.2618243066763</c:v>
                </c:pt>
                <c:pt idx="188">
                  <c:v>6747.6162047860353</c:v>
                </c:pt>
                <c:pt idx="189">
                  <c:v>6747.6162047860353</c:v>
                </c:pt>
                <c:pt idx="190">
                  <c:v>6747.6162047860353</c:v>
                </c:pt>
                <c:pt idx="191">
                  <c:v>6747.6162047860353</c:v>
                </c:pt>
                <c:pt idx="192">
                  <c:v>6747.6162047860353</c:v>
                </c:pt>
                <c:pt idx="193">
                  <c:v>6747.6162047860353</c:v>
                </c:pt>
                <c:pt idx="194">
                  <c:v>6747.6162047860353</c:v>
                </c:pt>
                <c:pt idx="195">
                  <c:v>6747.6162047860353</c:v>
                </c:pt>
                <c:pt idx="196">
                  <c:v>6747.6162047860353</c:v>
                </c:pt>
                <c:pt idx="197">
                  <c:v>6747.6162047860353</c:v>
                </c:pt>
                <c:pt idx="198">
                  <c:v>6747.6162047860353</c:v>
                </c:pt>
                <c:pt idx="199">
                  <c:v>6747.6162047860353</c:v>
                </c:pt>
                <c:pt idx="200">
                  <c:v>6747.6162047860353</c:v>
                </c:pt>
                <c:pt idx="201">
                  <c:v>6747.6162047860353</c:v>
                </c:pt>
                <c:pt idx="202">
                  <c:v>6747.6162047860353</c:v>
                </c:pt>
                <c:pt idx="203">
                  <c:v>6747.6162047860353</c:v>
                </c:pt>
                <c:pt idx="204">
                  <c:v>6747.6162047860353</c:v>
                </c:pt>
                <c:pt idx="205">
                  <c:v>6747.6162047860353</c:v>
                </c:pt>
                <c:pt idx="206">
                  <c:v>6747.6162047860353</c:v>
                </c:pt>
                <c:pt idx="207">
                  <c:v>6734.5168679207691</c:v>
                </c:pt>
                <c:pt idx="208">
                  <c:v>6734.5168679207691</c:v>
                </c:pt>
                <c:pt idx="209">
                  <c:v>5145.2515236935733</c:v>
                </c:pt>
                <c:pt idx="210">
                  <c:v>5145.2515236935733</c:v>
                </c:pt>
                <c:pt idx="211">
                  <c:v>5145.2515236935733</c:v>
                </c:pt>
                <c:pt idx="212">
                  <c:v>4810.4642786087779</c:v>
                </c:pt>
                <c:pt idx="213">
                  <c:v>4810.4642786087779</c:v>
                </c:pt>
                <c:pt idx="214">
                  <c:v>4810.4642786087779</c:v>
                </c:pt>
                <c:pt idx="215">
                  <c:v>5150.7100501838822</c:v>
                </c:pt>
                <c:pt idx="216">
                  <c:v>5150.7100501838822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6-4F83-9649-5C3757CDFA3E}"/>
            </c:ext>
          </c:extLst>
        </c:ser>
        <c:ser>
          <c:idx val="1"/>
          <c:order val="1"/>
          <c:tx>
            <c:strRef>
              <c:f>Charts!$J$1</c:f>
              <c:strCache>
                <c:ptCount val="1"/>
                <c:pt idx="0">
                  <c:v>Rolling VaR 99% (Rs)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Charts!$E$2:$E$248</c:f>
              <c:numCache>
                <c:formatCode>m/d/yyyy</c:formatCode>
                <c:ptCount val="247"/>
                <c:pt idx="0">
                  <c:v>46185</c:v>
                </c:pt>
                <c:pt idx="1">
                  <c:v>46184</c:v>
                </c:pt>
                <c:pt idx="2">
                  <c:v>46183</c:v>
                </c:pt>
                <c:pt idx="3">
                  <c:v>46182</c:v>
                </c:pt>
                <c:pt idx="4">
                  <c:v>46181</c:v>
                </c:pt>
                <c:pt idx="5">
                  <c:v>46178</c:v>
                </c:pt>
                <c:pt idx="6">
                  <c:v>46177</c:v>
                </c:pt>
                <c:pt idx="7">
                  <c:v>46176</c:v>
                </c:pt>
                <c:pt idx="8">
                  <c:v>46175</c:v>
                </c:pt>
                <c:pt idx="9">
                  <c:v>46174</c:v>
                </c:pt>
                <c:pt idx="10">
                  <c:v>46171</c:v>
                </c:pt>
                <c:pt idx="11">
                  <c:v>46169</c:v>
                </c:pt>
                <c:pt idx="12">
                  <c:v>46168</c:v>
                </c:pt>
                <c:pt idx="13">
                  <c:v>46167</c:v>
                </c:pt>
                <c:pt idx="14">
                  <c:v>46164</c:v>
                </c:pt>
                <c:pt idx="15">
                  <c:v>46163</c:v>
                </c:pt>
                <c:pt idx="16">
                  <c:v>46162</c:v>
                </c:pt>
                <c:pt idx="17">
                  <c:v>46161</c:v>
                </c:pt>
                <c:pt idx="18">
                  <c:v>46160</c:v>
                </c:pt>
                <c:pt idx="19">
                  <c:v>46157</c:v>
                </c:pt>
                <c:pt idx="20">
                  <c:v>46156</c:v>
                </c:pt>
                <c:pt idx="21">
                  <c:v>46155</c:v>
                </c:pt>
                <c:pt idx="22">
                  <c:v>46154</c:v>
                </c:pt>
                <c:pt idx="23">
                  <c:v>46153</c:v>
                </c:pt>
                <c:pt idx="24">
                  <c:v>46150</c:v>
                </c:pt>
                <c:pt idx="25">
                  <c:v>46149</c:v>
                </c:pt>
                <c:pt idx="26">
                  <c:v>46148</c:v>
                </c:pt>
                <c:pt idx="27">
                  <c:v>46147</c:v>
                </c:pt>
                <c:pt idx="28">
                  <c:v>46146</c:v>
                </c:pt>
                <c:pt idx="29">
                  <c:v>46142</c:v>
                </c:pt>
                <c:pt idx="30">
                  <c:v>46141</c:v>
                </c:pt>
                <c:pt idx="31">
                  <c:v>46140</c:v>
                </c:pt>
                <c:pt idx="32">
                  <c:v>46139</c:v>
                </c:pt>
                <c:pt idx="33">
                  <c:v>46136</c:v>
                </c:pt>
                <c:pt idx="34">
                  <c:v>46135</c:v>
                </c:pt>
                <c:pt idx="35">
                  <c:v>46134</c:v>
                </c:pt>
                <c:pt idx="36">
                  <c:v>46133</c:v>
                </c:pt>
                <c:pt idx="37">
                  <c:v>46132</c:v>
                </c:pt>
                <c:pt idx="38">
                  <c:v>46129</c:v>
                </c:pt>
                <c:pt idx="39">
                  <c:v>46128</c:v>
                </c:pt>
                <c:pt idx="40">
                  <c:v>46127</c:v>
                </c:pt>
                <c:pt idx="41">
                  <c:v>46125</c:v>
                </c:pt>
                <c:pt idx="42">
                  <c:v>46122</c:v>
                </c:pt>
                <c:pt idx="43">
                  <c:v>46121</c:v>
                </c:pt>
                <c:pt idx="44">
                  <c:v>46120</c:v>
                </c:pt>
                <c:pt idx="45">
                  <c:v>46119</c:v>
                </c:pt>
                <c:pt idx="46">
                  <c:v>46118</c:v>
                </c:pt>
                <c:pt idx="47">
                  <c:v>46114</c:v>
                </c:pt>
                <c:pt idx="48">
                  <c:v>46113</c:v>
                </c:pt>
                <c:pt idx="49">
                  <c:v>46111</c:v>
                </c:pt>
                <c:pt idx="50">
                  <c:v>46108</c:v>
                </c:pt>
                <c:pt idx="51">
                  <c:v>46106</c:v>
                </c:pt>
                <c:pt idx="52">
                  <c:v>46105</c:v>
                </c:pt>
                <c:pt idx="53">
                  <c:v>46104</c:v>
                </c:pt>
                <c:pt idx="54">
                  <c:v>46101</c:v>
                </c:pt>
                <c:pt idx="55">
                  <c:v>46100</c:v>
                </c:pt>
                <c:pt idx="56">
                  <c:v>46099</c:v>
                </c:pt>
                <c:pt idx="57">
                  <c:v>46098</c:v>
                </c:pt>
                <c:pt idx="58">
                  <c:v>46097</c:v>
                </c:pt>
                <c:pt idx="59">
                  <c:v>46094</c:v>
                </c:pt>
                <c:pt idx="60">
                  <c:v>46093</c:v>
                </c:pt>
                <c:pt idx="61">
                  <c:v>46092</c:v>
                </c:pt>
                <c:pt idx="62">
                  <c:v>46091</c:v>
                </c:pt>
                <c:pt idx="63">
                  <c:v>46090</c:v>
                </c:pt>
                <c:pt idx="64">
                  <c:v>46087</c:v>
                </c:pt>
                <c:pt idx="65">
                  <c:v>46086</c:v>
                </c:pt>
                <c:pt idx="66">
                  <c:v>46085</c:v>
                </c:pt>
                <c:pt idx="67">
                  <c:v>46083</c:v>
                </c:pt>
                <c:pt idx="68">
                  <c:v>46080</c:v>
                </c:pt>
                <c:pt idx="69">
                  <c:v>46079</c:v>
                </c:pt>
                <c:pt idx="70">
                  <c:v>46078</c:v>
                </c:pt>
                <c:pt idx="71">
                  <c:v>46077</c:v>
                </c:pt>
                <c:pt idx="72">
                  <c:v>46076</c:v>
                </c:pt>
                <c:pt idx="73">
                  <c:v>46073</c:v>
                </c:pt>
                <c:pt idx="74">
                  <c:v>46072</c:v>
                </c:pt>
                <c:pt idx="75">
                  <c:v>46071</c:v>
                </c:pt>
                <c:pt idx="76">
                  <c:v>46070</c:v>
                </c:pt>
                <c:pt idx="77">
                  <c:v>46069</c:v>
                </c:pt>
                <c:pt idx="78">
                  <c:v>46066</c:v>
                </c:pt>
                <c:pt idx="79">
                  <c:v>46065</c:v>
                </c:pt>
                <c:pt idx="80">
                  <c:v>46064</c:v>
                </c:pt>
                <c:pt idx="81">
                  <c:v>46063</c:v>
                </c:pt>
                <c:pt idx="82">
                  <c:v>46062</c:v>
                </c:pt>
                <c:pt idx="83">
                  <c:v>46059</c:v>
                </c:pt>
                <c:pt idx="84">
                  <c:v>46058</c:v>
                </c:pt>
                <c:pt idx="85">
                  <c:v>46057</c:v>
                </c:pt>
                <c:pt idx="86">
                  <c:v>46056</c:v>
                </c:pt>
                <c:pt idx="87">
                  <c:v>46055</c:v>
                </c:pt>
                <c:pt idx="88">
                  <c:v>46054</c:v>
                </c:pt>
                <c:pt idx="89">
                  <c:v>46052</c:v>
                </c:pt>
                <c:pt idx="90">
                  <c:v>46051</c:v>
                </c:pt>
                <c:pt idx="91">
                  <c:v>46050</c:v>
                </c:pt>
                <c:pt idx="92">
                  <c:v>46049</c:v>
                </c:pt>
                <c:pt idx="93">
                  <c:v>46045</c:v>
                </c:pt>
                <c:pt idx="94">
                  <c:v>46044</c:v>
                </c:pt>
                <c:pt idx="95">
                  <c:v>46043</c:v>
                </c:pt>
                <c:pt idx="96">
                  <c:v>46042</c:v>
                </c:pt>
                <c:pt idx="97">
                  <c:v>46041</c:v>
                </c:pt>
                <c:pt idx="98">
                  <c:v>46038</c:v>
                </c:pt>
                <c:pt idx="99">
                  <c:v>46036</c:v>
                </c:pt>
                <c:pt idx="100">
                  <c:v>46035</c:v>
                </c:pt>
                <c:pt idx="101">
                  <c:v>46034</c:v>
                </c:pt>
                <c:pt idx="102">
                  <c:v>46031</c:v>
                </c:pt>
                <c:pt idx="103">
                  <c:v>46030</c:v>
                </c:pt>
                <c:pt idx="104">
                  <c:v>46029</c:v>
                </c:pt>
                <c:pt idx="105">
                  <c:v>46028</c:v>
                </c:pt>
                <c:pt idx="106">
                  <c:v>46027</c:v>
                </c:pt>
                <c:pt idx="107">
                  <c:v>46024</c:v>
                </c:pt>
                <c:pt idx="108">
                  <c:v>46023</c:v>
                </c:pt>
                <c:pt idx="109">
                  <c:v>46022</c:v>
                </c:pt>
                <c:pt idx="110">
                  <c:v>46021</c:v>
                </c:pt>
                <c:pt idx="111">
                  <c:v>46020</c:v>
                </c:pt>
                <c:pt idx="112">
                  <c:v>46017</c:v>
                </c:pt>
                <c:pt idx="113">
                  <c:v>46015</c:v>
                </c:pt>
                <c:pt idx="114">
                  <c:v>46014</c:v>
                </c:pt>
                <c:pt idx="115">
                  <c:v>46013</c:v>
                </c:pt>
                <c:pt idx="116">
                  <c:v>46010</c:v>
                </c:pt>
                <c:pt idx="117">
                  <c:v>46009</c:v>
                </c:pt>
                <c:pt idx="118">
                  <c:v>46008</c:v>
                </c:pt>
                <c:pt idx="119">
                  <c:v>46007</c:v>
                </c:pt>
                <c:pt idx="120">
                  <c:v>46006</c:v>
                </c:pt>
                <c:pt idx="121">
                  <c:v>46003</c:v>
                </c:pt>
                <c:pt idx="122">
                  <c:v>46002</c:v>
                </c:pt>
                <c:pt idx="123">
                  <c:v>46001</c:v>
                </c:pt>
                <c:pt idx="124">
                  <c:v>46000</c:v>
                </c:pt>
                <c:pt idx="125">
                  <c:v>45999</c:v>
                </c:pt>
                <c:pt idx="126">
                  <c:v>45996</c:v>
                </c:pt>
                <c:pt idx="127">
                  <c:v>45995</c:v>
                </c:pt>
                <c:pt idx="128">
                  <c:v>45994</c:v>
                </c:pt>
                <c:pt idx="129">
                  <c:v>45993</c:v>
                </c:pt>
                <c:pt idx="130">
                  <c:v>45992</c:v>
                </c:pt>
                <c:pt idx="131">
                  <c:v>45989</c:v>
                </c:pt>
                <c:pt idx="132">
                  <c:v>45988</c:v>
                </c:pt>
                <c:pt idx="133">
                  <c:v>45987</c:v>
                </c:pt>
                <c:pt idx="134">
                  <c:v>45986</c:v>
                </c:pt>
                <c:pt idx="135">
                  <c:v>45985</c:v>
                </c:pt>
                <c:pt idx="136">
                  <c:v>45982</c:v>
                </c:pt>
                <c:pt idx="137">
                  <c:v>45981</c:v>
                </c:pt>
                <c:pt idx="138">
                  <c:v>45980</c:v>
                </c:pt>
                <c:pt idx="139">
                  <c:v>45979</c:v>
                </c:pt>
                <c:pt idx="140">
                  <c:v>45978</c:v>
                </c:pt>
                <c:pt idx="141">
                  <c:v>45975</c:v>
                </c:pt>
                <c:pt idx="142">
                  <c:v>45974</c:v>
                </c:pt>
                <c:pt idx="143">
                  <c:v>45973</c:v>
                </c:pt>
                <c:pt idx="144">
                  <c:v>45972</c:v>
                </c:pt>
                <c:pt idx="145">
                  <c:v>45971</c:v>
                </c:pt>
                <c:pt idx="146">
                  <c:v>45968</c:v>
                </c:pt>
                <c:pt idx="147">
                  <c:v>45967</c:v>
                </c:pt>
                <c:pt idx="148">
                  <c:v>45965</c:v>
                </c:pt>
                <c:pt idx="149">
                  <c:v>45964</c:v>
                </c:pt>
                <c:pt idx="150">
                  <c:v>45961</c:v>
                </c:pt>
                <c:pt idx="151">
                  <c:v>45960</c:v>
                </c:pt>
                <c:pt idx="152">
                  <c:v>45959</c:v>
                </c:pt>
                <c:pt idx="153">
                  <c:v>45958</c:v>
                </c:pt>
                <c:pt idx="154">
                  <c:v>45957</c:v>
                </c:pt>
                <c:pt idx="155">
                  <c:v>45954</c:v>
                </c:pt>
                <c:pt idx="156">
                  <c:v>45953</c:v>
                </c:pt>
                <c:pt idx="157">
                  <c:v>45951</c:v>
                </c:pt>
                <c:pt idx="158">
                  <c:v>45950</c:v>
                </c:pt>
                <c:pt idx="159">
                  <c:v>45947</c:v>
                </c:pt>
                <c:pt idx="160">
                  <c:v>45946</c:v>
                </c:pt>
                <c:pt idx="161">
                  <c:v>45945</c:v>
                </c:pt>
                <c:pt idx="162">
                  <c:v>45944</c:v>
                </c:pt>
                <c:pt idx="163">
                  <c:v>45943</c:v>
                </c:pt>
                <c:pt idx="164">
                  <c:v>45940</c:v>
                </c:pt>
                <c:pt idx="165">
                  <c:v>45939</c:v>
                </c:pt>
                <c:pt idx="166">
                  <c:v>45938</c:v>
                </c:pt>
                <c:pt idx="167">
                  <c:v>45937</c:v>
                </c:pt>
                <c:pt idx="168">
                  <c:v>45936</c:v>
                </c:pt>
                <c:pt idx="169">
                  <c:v>45933</c:v>
                </c:pt>
                <c:pt idx="170">
                  <c:v>45931</c:v>
                </c:pt>
                <c:pt idx="171">
                  <c:v>45930</c:v>
                </c:pt>
                <c:pt idx="172">
                  <c:v>45929</c:v>
                </c:pt>
                <c:pt idx="173">
                  <c:v>45926</c:v>
                </c:pt>
                <c:pt idx="174">
                  <c:v>45925</c:v>
                </c:pt>
                <c:pt idx="175">
                  <c:v>45924</c:v>
                </c:pt>
                <c:pt idx="176">
                  <c:v>45923</c:v>
                </c:pt>
                <c:pt idx="177">
                  <c:v>45922</c:v>
                </c:pt>
                <c:pt idx="178">
                  <c:v>45919</c:v>
                </c:pt>
                <c:pt idx="179">
                  <c:v>45918</c:v>
                </c:pt>
                <c:pt idx="180">
                  <c:v>45917</c:v>
                </c:pt>
                <c:pt idx="181">
                  <c:v>45916</c:v>
                </c:pt>
                <c:pt idx="182">
                  <c:v>45915</c:v>
                </c:pt>
                <c:pt idx="183">
                  <c:v>45912</c:v>
                </c:pt>
                <c:pt idx="184">
                  <c:v>45911</c:v>
                </c:pt>
                <c:pt idx="185">
                  <c:v>45910</c:v>
                </c:pt>
                <c:pt idx="186">
                  <c:v>45909</c:v>
                </c:pt>
                <c:pt idx="187">
                  <c:v>45908</c:v>
                </c:pt>
                <c:pt idx="188">
                  <c:v>45905</c:v>
                </c:pt>
                <c:pt idx="189">
                  <c:v>45904</c:v>
                </c:pt>
                <c:pt idx="190">
                  <c:v>45903</c:v>
                </c:pt>
                <c:pt idx="191">
                  <c:v>45902</c:v>
                </c:pt>
                <c:pt idx="192">
                  <c:v>45901</c:v>
                </c:pt>
                <c:pt idx="193">
                  <c:v>45898</c:v>
                </c:pt>
                <c:pt idx="194">
                  <c:v>45897</c:v>
                </c:pt>
                <c:pt idx="195">
                  <c:v>45895</c:v>
                </c:pt>
                <c:pt idx="196">
                  <c:v>45894</c:v>
                </c:pt>
                <c:pt idx="197">
                  <c:v>45891</c:v>
                </c:pt>
                <c:pt idx="198">
                  <c:v>45890</c:v>
                </c:pt>
                <c:pt idx="199">
                  <c:v>45889</c:v>
                </c:pt>
                <c:pt idx="200">
                  <c:v>45888</c:v>
                </c:pt>
                <c:pt idx="201">
                  <c:v>45887</c:v>
                </c:pt>
                <c:pt idx="202">
                  <c:v>45883</c:v>
                </c:pt>
                <c:pt idx="203">
                  <c:v>45882</c:v>
                </c:pt>
                <c:pt idx="204">
                  <c:v>45881</c:v>
                </c:pt>
                <c:pt idx="205">
                  <c:v>45880</c:v>
                </c:pt>
                <c:pt idx="206">
                  <c:v>45877</c:v>
                </c:pt>
                <c:pt idx="207">
                  <c:v>45876</c:v>
                </c:pt>
                <c:pt idx="208">
                  <c:v>45875</c:v>
                </c:pt>
                <c:pt idx="209">
                  <c:v>45874</c:v>
                </c:pt>
                <c:pt idx="210">
                  <c:v>45873</c:v>
                </c:pt>
                <c:pt idx="211">
                  <c:v>45870</c:v>
                </c:pt>
                <c:pt idx="212">
                  <c:v>45869</c:v>
                </c:pt>
                <c:pt idx="213">
                  <c:v>45868</c:v>
                </c:pt>
                <c:pt idx="214">
                  <c:v>45867</c:v>
                </c:pt>
                <c:pt idx="215">
                  <c:v>45866</c:v>
                </c:pt>
                <c:pt idx="216">
                  <c:v>45863</c:v>
                </c:pt>
                <c:pt idx="217">
                  <c:v>45862</c:v>
                </c:pt>
                <c:pt idx="218">
                  <c:v>45861</c:v>
                </c:pt>
                <c:pt idx="219">
                  <c:v>45860</c:v>
                </c:pt>
                <c:pt idx="220">
                  <c:v>45859</c:v>
                </c:pt>
                <c:pt idx="221">
                  <c:v>45856</c:v>
                </c:pt>
                <c:pt idx="222">
                  <c:v>45855</c:v>
                </c:pt>
                <c:pt idx="223">
                  <c:v>45854</c:v>
                </c:pt>
                <c:pt idx="224">
                  <c:v>45853</c:v>
                </c:pt>
                <c:pt idx="225">
                  <c:v>45852</c:v>
                </c:pt>
                <c:pt idx="226">
                  <c:v>45849</c:v>
                </c:pt>
                <c:pt idx="227">
                  <c:v>45848</c:v>
                </c:pt>
                <c:pt idx="228">
                  <c:v>45847</c:v>
                </c:pt>
                <c:pt idx="229">
                  <c:v>45846</c:v>
                </c:pt>
                <c:pt idx="230">
                  <c:v>45845</c:v>
                </c:pt>
                <c:pt idx="231">
                  <c:v>45842</c:v>
                </c:pt>
                <c:pt idx="232">
                  <c:v>45841</c:v>
                </c:pt>
                <c:pt idx="233">
                  <c:v>45840</c:v>
                </c:pt>
                <c:pt idx="234">
                  <c:v>45839</c:v>
                </c:pt>
                <c:pt idx="235">
                  <c:v>45838</c:v>
                </c:pt>
                <c:pt idx="236">
                  <c:v>45835</c:v>
                </c:pt>
                <c:pt idx="237">
                  <c:v>45834</c:v>
                </c:pt>
                <c:pt idx="238">
                  <c:v>45833</c:v>
                </c:pt>
                <c:pt idx="239">
                  <c:v>45832</c:v>
                </c:pt>
                <c:pt idx="240">
                  <c:v>45831</c:v>
                </c:pt>
                <c:pt idx="241">
                  <c:v>45828</c:v>
                </c:pt>
                <c:pt idx="242">
                  <c:v>45827</c:v>
                </c:pt>
                <c:pt idx="243">
                  <c:v>45826</c:v>
                </c:pt>
                <c:pt idx="244">
                  <c:v>45825</c:v>
                </c:pt>
                <c:pt idx="245">
                  <c:v>45824</c:v>
                </c:pt>
                <c:pt idx="246">
                  <c:v>45821</c:v>
                </c:pt>
              </c:numCache>
            </c:numRef>
          </c:cat>
          <c:val>
            <c:numRef>
              <c:f>Charts!$J$2:$J$248</c:f>
              <c:numCache>
                <c:formatCode>General</c:formatCode>
                <c:ptCount val="247"/>
                <c:pt idx="0">
                  <c:v>7368.0783833580153</c:v>
                </c:pt>
                <c:pt idx="1">
                  <c:v>7368.0783833580153</c:v>
                </c:pt>
                <c:pt idx="2">
                  <c:v>7368.0783833580153</c:v>
                </c:pt>
                <c:pt idx="3">
                  <c:v>7368.0783833580153</c:v>
                </c:pt>
                <c:pt idx="4">
                  <c:v>7368.0783833580153</c:v>
                </c:pt>
                <c:pt idx="5">
                  <c:v>7368.0783833580153</c:v>
                </c:pt>
                <c:pt idx="6">
                  <c:v>7368.0783833580153</c:v>
                </c:pt>
                <c:pt idx="7">
                  <c:v>7368.0783833580153</c:v>
                </c:pt>
                <c:pt idx="8">
                  <c:v>7368.0783833580153</c:v>
                </c:pt>
                <c:pt idx="9">
                  <c:v>7368.0783833580153</c:v>
                </c:pt>
                <c:pt idx="10">
                  <c:v>5858.1234707131835</c:v>
                </c:pt>
                <c:pt idx="11">
                  <c:v>5858.1234707131835</c:v>
                </c:pt>
                <c:pt idx="12">
                  <c:v>7032.9142676936244</c:v>
                </c:pt>
                <c:pt idx="13">
                  <c:v>7032.9142676936244</c:v>
                </c:pt>
                <c:pt idx="14">
                  <c:v>7032.9142676936244</c:v>
                </c:pt>
                <c:pt idx="15">
                  <c:v>7032.9142676936244</c:v>
                </c:pt>
                <c:pt idx="16">
                  <c:v>7032.9142676936244</c:v>
                </c:pt>
                <c:pt idx="17">
                  <c:v>7032.9142676936244</c:v>
                </c:pt>
                <c:pt idx="18">
                  <c:v>7032.9142676936244</c:v>
                </c:pt>
                <c:pt idx="19">
                  <c:v>7032.9142676936244</c:v>
                </c:pt>
                <c:pt idx="20">
                  <c:v>9731.6770506564335</c:v>
                </c:pt>
                <c:pt idx="21">
                  <c:v>10061.905861404406</c:v>
                </c:pt>
                <c:pt idx="22">
                  <c:v>10061.905861404406</c:v>
                </c:pt>
                <c:pt idx="23">
                  <c:v>10061.905861404406</c:v>
                </c:pt>
                <c:pt idx="24">
                  <c:v>13981.053686302446</c:v>
                </c:pt>
                <c:pt idx="25">
                  <c:v>13981.053686302446</c:v>
                </c:pt>
                <c:pt idx="26">
                  <c:v>16016.893935809992</c:v>
                </c:pt>
                <c:pt idx="27">
                  <c:v>16016.893935809992</c:v>
                </c:pt>
                <c:pt idx="28">
                  <c:v>16016.893935809992</c:v>
                </c:pt>
                <c:pt idx="29">
                  <c:v>16016.893935809992</c:v>
                </c:pt>
                <c:pt idx="30">
                  <c:v>16280.831996989244</c:v>
                </c:pt>
                <c:pt idx="31">
                  <c:v>16280.831996989244</c:v>
                </c:pt>
                <c:pt idx="32">
                  <c:v>16280.831996989244</c:v>
                </c:pt>
                <c:pt idx="33">
                  <c:v>16280.831996989244</c:v>
                </c:pt>
                <c:pt idx="34">
                  <c:v>16280.831996989244</c:v>
                </c:pt>
                <c:pt idx="35">
                  <c:v>16280.831996989244</c:v>
                </c:pt>
                <c:pt idx="36">
                  <c:v>16280.831996989244</c:v>
                </c:pt>
                <c:pt idx="37">
                  <c:v>16280.831996989244</c:v>
                </c:pt>
                <c:pt idx="38">
                  <c:v>16280.831996989244</c:v>
                </c:pt>
                <c:pt idx="39">
                  <c:v>16280.831996989244</c:v>
                </c:pt>
                <c:pt idx="40">
                  <c:v>16280.831996989244</c:v>
                </c:pt>
                <c:pt idx="41">
                  <c:v>16280.831996989244</c:v>
                </c:pt>
                <c:pt idx="42">
                  <c:v>16280.831996989244</c:v>
                </c:pt>
                <c:pt idx="43">
                  <c:v>16280.831996989244</c:v>
                </c:pt>
                <c:pt idx="44">
                  <c:v>16280.831996989244</c:v>
                </c:pt>
                <c:pt idx="45">
                  <c:v>16280.831996989244</c:v>
                </c:pt>
                <c:pt idx="46">
                  <c:v>16280.831996989244</c:v>
                </c:pt>
                <c:pt idx="47">
                  <c:v>16280.831996989244</c:v>
                </c:pt>
                <c:pt idx="48">
                  <c:v>16280.831996989244</c:v>
                </c:pt>
                <c:pt idx="49">
                  <c:v>16280.831996989244</c:v>
                </c:pt>
                <c:pt idx="50">
                  <c:v>16280.831996989244</c:v>
                </c:pt>
                <c:pt idx="51">
                  <c:v>16280.831996989244</c:v>
                </c:pt>
                <c:pt idx="52">
                  <c:v>16280.831996989244</c:v>
                </c:pt>
                <c:pt idx="53">
                  <c:v>16280.831996989244</c:v>
                </c:pt>
                <c:pt idx="54">
                  <c:v>16280.831996989244</c:v>
                </c:pt>
                <c:pt idx="55">
                  <c:v>16280.831996989244</c:v>
                </c:pt>
                <c:pt idx="56">
                  <c:v>15943.842966854541</c:v>
                </c:pt>
                <c:pt idx="57">
                  <c:v>15943.842966854541</c:v>
                </c:pt>
                <c:pt idx="58">
                  <c:v>15943.842966854541</c:v>
                </c:pt>
                <c:pt idx="59">
                  <c:v>15943.842966854541</c:v>
                </c:pt>
                <c:pt idx="60">
                  <c:v>15139.371730708577</c:v>
                </c:pt>
                <c:pt idx="61">
                  <c:v>15139.371730708577</c:v>
                </c:pt>
                <c:pt idx="62">
                  <c:v>15139.371730708577</c:v>
                </c:pt>
                <c:pt idx="63">
                  <c:v>15139.371730708577</c:v>
                </c:pt>
                <c:pt idx="64">
                  <c:v>13294.776084475776</c:v>
                </c:pt>
                <c:pt idx="65">
                  <c:v>13294.776084475776</c:v>
                </c:pt>
                <c:pt idx="66">
                  <c:v>13294.776084475776</c:v>
                </c:pt>
                <c:pt idx="67">
                  <c:v>10409.960466534843</c:v>
                </c:pt>
                <c:pt idx="68">
                  <c:v>10409.960466534843</c:v>
                </c:pt>
                <c:pt idx="69">
                  <c:v>10409.960466534843</c:v>
                </c:pt>
                <c:pt idx="70">
                  <c:v>10409.960466534843</c:v>
                </c:pt>
                <c:pt idx="71">
                  <c:v>10409.960466534843</c:v>
                </c:pt>
                <c:pt idx="72">
                  <c:v>10409.960466534843</c:v>
                </c:pt>
                <c:pt idx="73">
                  <c:v>10409.960466534843</c:v>
                </c:pt>
                <c:pt idx="74">
                  <c:v>10409.960466534843</c:v>
                </c:pt>
                <c:pt idx="75">
                  <c:v>10409.960466534843</c:v>
                </c:pt>
                <c:pt idx="76">
                  <c:v>10409.960466534843</c:v>
                </c:pt>
                <c:pt idx="77">
                  <c:v>10409.960466534843</c:v>
                </c:pt>
                <c:pt idx="78">
                  <c:v>10409.960466534843</c:v>
                </c:pt>
                <c:pt idx="79">
                  <c:v>10409.960466534843</c:v>
                </c:pt>
                <c:pt idx="80">
                  <c:v>10409.960466534843</c:v>
                </c:pt>
                <c:pt idx="81">
                  <c:v>10409.960466534843</c:v>
                </c:pt>
                <c:pt idx="82">
                  <c:v>10409.960466534843</c:v>
                </c:pt>
                <c:pt idx="83">
                  <c:v>10409.960466534843</c:v>
                </c:pt>
                <c:pt idx="84">
                  <c:v>10409.960466534843</c:v>
                </c:pt>
                <c:pt idx="85">
                  <c:v>10409.960466534843</c:v>
                </c:pt>
                <c:pt idx="86">
                  <c:v>10409.960466534843</c:v>
                </c:pt>
                <c:pt idx="87">
                  <c:v>10409.960466534843</c:v>
                </c:pt>
                <c:pt idx="88">
                  <c:v>10409.960466534843</c:v>
                </c:pt>
                <c:pt idx="89">
                  <c:v>9403.3554941478505</c:v>
                </c:pt>
                <c:pt idx="90">
                  <c:v>9403.3554941478505</c:v>
                </c:pt>
                <c:pt idx="91">
                  <c:v>9048.0886843944318</c:v>
                </c:pt>
                <c:pt idx="92">
                  <c:v>9048.0886843944318</c:v>
                </c:pt>
                <c:pt idx="93">
                  <c:v>9048.0886843944318</c:v>
                </c:pt>
                <c:pt idx="94">
                  <c:v>9048.0886843944318</c:v>
                </c:pt>
                <c:pt idx="95">
                  <c:v>9048.0886843944318</c:v>
                </c:pt>
                <c:pt idx="96">
                  <c:v>9930.5020277015683</c:v>
                </c:pt>
                <c:pt idx="97">
                  <c:v>6548.3768772300818</c:v>
                </c:pt>
                <c:pt idx="98">
                  <c:v>6548.3768772300818</c:v>
                </c:pt>
                <c:pt idx="99">
                  <c:v>6548.3768772300818</c:v>
                </c:pt>
                <c:pt idx="100">
                  <c:v>6548.3768772300818</c:v>
                </c:pt>
                <c:pt idx="101">
                  <c:v>6548.3768772300818</c:v>
                </c:pt>
                <c:pt idx="102">
                  <c:v>6548.3768772300818</c:v>
                </c:pt>
                <c:pt idx="103">
                  <c:v>6548.3768772300818</c:v>
                </c:pt>
                <c:pt idx="104">
                  <c:v>6328.9528010029871</c:v>
                </c:pt>
                <c:pt idx="105">
                  <c:v>6328.9528010029871</c:v>
                </c:pt>
                <c:pt idx="106">
                  <c:v>6406.097837327452</c:v>
                </c:pt>
                <c:pt idx="107">
                  <c:v>6493.595312706685</c:v>
                </c:pt>
                <c:pt idx="108">
                  <c:v>6493.595312706685</c:v>
                </c:pt>
                <c:pt idx="109">
                  <c:v>6493.595312706685</c:v>
                </c:pt>
                <c:pt idx="110">
                  <c:v>6493.595312706685</c:v>
                </c:pt>
                <c:pt idx="111">
                  <c:v>6493.595312706685</c:v>
                </c:pt>
                <c:pt idx="112">
                  <c:v>6637.5040423475848</c:v>
                </c:pt>
                <c:pt idx="113">
                  <c:v>6637.5040423475848</c:v>
                </c:pt>
                <c:pt idx="114">
                  <c:v>6637.5040423475848</c:v>
                </c:pt>
                <c:pt idx="115">
                  <c:v>6637.5040423475848</c:v>
                </c:pt>
                <c:pt idx="116">
                  <c:v>6637.5040423475848</c:v>
                </c:pt>
                <c:pt idx="117">
                  <c:v>6637.5040423475848</c:v>
                </c:pt>
                <c:pt idx="118">
                  <c:v>6637.5040423475848</c:v>
                </c:pt>
                <c:pt idx="119">
                  <c:v>6637.5040423475848</c:v>
                </c:pt>
                <c:pt idx="120">
                  <c:v>6637.5040423475848</c:v>
                </c:pt>
                <c:pt idx="121">
                  <c:v>6637.5040423475848</c:v>
                </c:pt>
                <c:pt idx="122">
                  <c:v>6637.5040423475848</c:v>
                </c:pt>
                <c:pt idx="123">
                  <c:v>6637.5040423475848</c:v>
                </c:pt>
                <c:pt idx="124">
                  <c:v>6637.5040423475848</c:v>
                </c:pt>
                <c:pt idx="125">
                  <c:v>6637.5040423475848</c:v>
                </c:pt>
                <c:pt idx="126">
                  <c:v>4635.0177536921447</c:v>
                </c:pt>
                <c:pt idx="127">
                  <c:v>4657.9471007394741</c:v>
                </c:pt>
                <c:pt idx="128">
                  <c:v>4657.9471007394741</c:v>
                </c:pt>
                <c:pt idx="129">
                  <c:v>4657.9471007394741</c:v>
                </c:pt>
                <c:pt idx="130">
                  <c:v>4657.9471007394741</c:v>
                </c:pt>
                <c:pt idx="131">
                  <c:v>4657.9471007394741</c:v>
                </c:pt>
                <c:pt idx="132">
                  <c:v>4657.9471007394741</c:v>
                </c:pt>
                <c:pt idx="133">
                  <c:v>4683.0810603755244</c:v>
                </c:pt>
                <c:pt idx="134">
                  <c:v>4683.0810603755244</c:v>
                </c:pt>
                <c:pt idx="135">
                  <c:v>4683.0810603755244</c:v>
                </c:pt>
                <c:pt idx="136">
                  <c:v>4683.0810603755244</c:v>
                </c:pt>
                <c:pt idx="137">
                  <c:v>4683.0810603755244</c:v>
                </c:pt>
                <c:pt idx="138">
                  <c:v>4683.0810603755244</c:v>
                </c:pt>
                <c:pt idx="139">
                  <c:v>4683.0810603755244</c:v>
                </c:pt>
                <c:pt idx="140">
                  <c:v>4683.0810603755244</c:v>
                </c:pt>
                <c:pt idx="141">
                  <c:v>4683.0810603755244</c:v>
                </c:pt>
                <c:pt idx="142">
                  <c:v>4627.9812319802231</c:v>
                </c:pt>
                <c:pt idx="143">
                  <c:v>4627.9812319802231</c:v>
                </c:pt>
                <c:pt idx="144">
                  <c:v>6589.2590680582653</c:v>
                </c:pt>
                <c:pt idx="145">
                  <c:v>6644.3876075414437</c:v>
                </c:pt>
                <c:pt idx="146">
                  <c:v>6644.3876075414437</c:v>
                </c:pt>
                <c:pt idx="147">
                  <c:v>7175.7260812380828</c:v>
                </c:pt>
                <c:pt idx="148">
                  <c:v>7175.7260812380828</c:v>
                </c:pt>
                <c:pt idx="149">
                  <c:v>7175.7260812380828</c:v>
                </c:pt>
                <c:pt idx="150">
                  <c:v>7175.7260812380828</c:v>
                </c:pt>
                <c:pt idx="151">
                  <c:v>7175.7260812380828</c:v>
                </c:pt>
                <c:pt idx="152">
                  <c:v>7175.7260812380828</c:v>
                </c:pt>
                <c:pt idx="153">
                  <c:v>7175.7260812380828</c:v>
                </c:pt>
                <c:pt idx="154">
                  <c:v>7175.7260812380828</c:v>
                </c:pt>
                <c:pt idx="155">
                  <c:v>7175.7260812380828</c:v>
                </c:pt>
                <c:pt idx="156">
                  <c:v>7175.7260812380828</c:v>
                </c:pt>
                <c:pt idx="157">
                  <c:v>7175.7260812380828</c:v>
                </c:pt>
                <c:pt idx="158">
                  <c:v>7175.7260812380828</c:v>
                </c:pt>
                <c:pt idx="159">
                  <c:v>7175.7260812380828</c:v>
                </c:pt>
                <c:pt idx="160">
                  <c:v>7175.7260812380828</c:v>
                </c:pt>
                <c:pt idx="161">
                  <c:v>7175.7260812380828</c:v>
                </c:pt>
                <c:pt idx="162">
                  <c:v>7175.7260812380828</c:v>
                </c:pt>
                <c:pt idx="163">
                  <c:v>7175.7260812380828</c:v>
                </c:pt>
                <c:pt idx="164">
                  <c:v>7175.7260812380828</c:v>
                </c:pt>
                <c:pt idx="165">
                  <c:v>7175.7260812380828</c:v>
                </c:pt>
                <c:pt idx="166">
                  <c:v>7175.7260812380828</c:v>
                </c:pt>
                <c:pt idx="167">
                  <c:v>7175.7260812380828</c:v>
                </c:pt>
                <c:pt idx="168">
                  <c:v>7175.7260812380828</c:v>
                </c:pt>
                <c:pt idx="169">
                  <c:v>7175.7260812380828</c:v>
                </c:pt>
                <c:pt idx="170">
                  <c:v>7175.7260812380828</c:v>
                </c:pt>
                <c:pt idx="171">
                  <c:v>7175.7260812380828</c:v>
                </c:pt>
                <c:pt idx="172">
                  <c:v>7175.7260812380828</c:v>
                </c:pt>
                <c:pt idx="173">
                  <c:v>7175.7260812380828</c:v>
                </c:pt>
                <c:pt idx="174">
                  <c:v>6144.0767633672804</c:v>
                </c:pt>
                <c:pt idx="175">
                  <c:v>5835.9684210766582</c:v>
                </c:pt>
                <c:pt idx="176">
                  <c:v>5835.9684210766582</c:v>
                </c:pt>
                <c:pt idx="177">
                  <c:v>5461.7660879491168</c:v>
                </c:pt>
                <c:pt idx="178">
                  <c:v>5461.7660879491168</c:v>
                </c:pt>
                <c:pt idx="179">
                  <c:v>9512.8184500243788</c:v>
                </c:pt>
                <c:pt idx="180">
                  <c:v>9512.8184500243788</c:v>
                </c:pt>
                <c:pt idx="181">
                  <c:v>9512.8184500243788</c:v>
                </c:pt>
                <c:pt idx="182">
                  <c:v>9512.8184500243788</c:v>
                </c:pt>
                <c:pt idx="183">
                  <c:v>9512.8184500243788</c:v>
                </c:pt>
                <c:pt idx="184">
                  <c:v>9512.8184500243788</c:v>
                </c:pt>
                <c:pt idx="185">
                  <c:v>9512.8184500243788</c:v>
                </c:pt>
                <c:pt idx="186">
                  <c:v>9512.8184500243788</c:v>
                </c:pt>
                <c:pt idx="187">
                  <c:v>9512.8184500243788</c:v>
                </c:pt>
                <c:pt idx="188">
                  <c:v>9828.7847902573394</c:v>
                </c:pt>
                <c:pt idx="189">
                  <c:v>9828.7847902573394</c:v>
                </c:pt>
                <c:pt idx="190">
                  <c:v>9828.7847902573394</c:v>
                </c:pt>
                <c:pt idx="191">
                  <c:v>9828.7847902573394</c:v>
                </c:pt>
                <c:pt idx="192">
                  <c:v>9828.7847902573394</c:v>
                </c:pt>
                <c:pt idx="193">
                  <c:v>9828.7847902573394</c:v>
                </c:pt>
                <c:pt idx="194">
                  <c:v>9828.7847902573394</c:v>
                </c:pt>
                <c:pt idx="195">
                  <c:v>9828.7847902573394</c:v>
                </c:pt>
                <c:pt idx="196">
                  <c:v>9828.7847902573394</c:v>
                </c:pt>
                <c:pt idx="197">
                  <c:v>9828.7847902573394</c:v>
                </c:pt>
                <c:pt idx="198">
                  <c:v>9828.7847902573394</c:v>
                </c:pt>
                <c:pt idx="199">
                  <c:v>9828.7847902573394</c:v>
                </c:pt>
                <c:pt idx="200">
                  <c:v>9828.7847902573394</c:v>
                </c:pt>
                <c:pt idx="201">
                  <c:v>9828.7847902573394</c:v>
                </c:pt>
                <c:pt idx="202">
                  <c:v>9828.7847902573394</c:v>
                </c:pt>
                <c:pt idx="203">
                  <c:v>9828.7847902573394</c:v>
                </c:pt>
                <c:pt idx="204">
                  <c:v>9828.7847902573394</c:v>
                </c:pt>
                <c:pt idx="205">
                  <c:v>9828.7847902573394</c:v>
                </c:pt>
                <c:pt idx="206">
                  <c:v>9828.7847902573394</c:v>
                </c:pt>
                <c:pt idx="207">
                  <c:v>9828.7847902573394</c:v>
                </c:pt>
                <c:pt idx="208">
                  <c:v>9828.7847902573394</c:v>
                </c:pt>
                <c:pt idx="209">
                  <c:v>6913.5006665975634</c:v>
                </c:pt>
                <c:pt idx="210">
                  <c:v>6913.5006665975634</c:v>
                </c:pt>
                <c:pt idx="211">
                  <c:v>6913.5006665975634</c:v>
                </c:pt>
                <c:pt idx="212">
                  <c:v>6913.5006665975634</c:v>
                </c:pt>
                <c:pt idx="213">
                  <c:v>6913.5006665975634</c:v>
                </c:pt>
                <c:pt idx="214">
                  <c:v>6913.5006665975634</c:v>
                </c:pt>
                <c:pt idx="215">
                  <c:v>6913.5006665975634</c:v>
                </c:pt>
                <c:pt idx="216">
                  <c:v>6913.5006665975634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6-4F83-9649-5C3757CD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903088"/>
        <c:axId val="431894928"/>
      </c:lineChart>
      <c:dateAx>
        <c:axId val="4319030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94928"/>
        <c:crosses val="autoZero"/>
        <c:auto val="1"/>
        <c:lblOffset val="100"/>
        <c:baseTimeUnit val="days"/>
      </c:dateAx>
      <c:valAx>
        <c:axId val="4318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6569</xdr:colOff>
      <xdr:row>7</xdr:row>
      <xdr:rowOff>31712</xdr:rowOff>
    </xdr:from>
    <xdr:to>
      <xdr:col>23</xdr:col>
      <xdr:colOff>1227448</xdr:colOff>
      <xdr:row>16</xdr:row>
      <xdr:rowOff>106069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992984-F5B2-6909-A8B8-F2D53984E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92626" y="1151145"/>
          <a:ext cx="2261755" cy="153878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602601</xdr:colOff>
      <xdr:row>21</xdr:row>
      <xdr:rowOff>38878</xdr:rowOff>
    </xdr:from>
    <xdr:to>
      <xdr:col>34</xdr:col>
      <xdr:colOff>388774</xdr:colOff>
      <xdr:row>41</xdr:row>
      <xdr:rowOff>126353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C40024D-8ADE-7832-A00B-F502D6DF8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33</xdr:col>
      <xdr:colOff>533604</xdr:colOff>
      <xdr:row>19</xdr:row>
      <xdr:rowOff>110764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B2A9F62-95C6-4C7C-A41C-C4E06A5B7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60356</xdr:colOff>
      <xdr:row>1</xdr:row>
      <xdr:rowOff>163492</xdr:rowOff>
    </xdr:from>
    <xdr:to>
      <xdr:col>28</xdr:col>
      <xdr:colOff>66623</xdr:colOff>
      <xdr:row>15</xdr:row>
      <xdr:rowOff>67194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09F6CBB-805D-440A-BACE-021F8EFCF55D}"/>
            </a:ext>
          </a:extLst>
        </xdr:cNvPr>
        <xdr:cNvCxnSpPr/>
      </xdr:nvCxnSpPr>
      <xdr:spPr>
        <a:xfrm flipV="1">
          <a:off x="13628621" y="328722"/>
          <a:ext cx="6267" cy="221691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461409</xdr:colOff>
      <xdr:row>1</xdr:row>
      <xdr:rowOff>163492</xdr:rowOff>
    </xdr:from>
    <xdr:to>
      <xdr:col>27</xdr:col>
      <xdr:colOff>480208</xdr:colOff>
      <xdr:row>15</xdr:row>
      <xdr:rowOff>67194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8031AE8-9048-4D58-AC73-64A8C25A502D}"/>
            </a:ext>
          </a:extLst>
        </xdr:cNvPr>
        <xdr:cNvCxnSpPr/>
      </xdr:nvCxnSpPr>
      <xdr:spPr>
        <a:xfrm flipH="1" flipV="1">
          <a:off x="13417353" y="328722"/>
          <a:ext cx="18799" cy="2216916"/>
        </a:xfrm>
        <a:prstGeom prst="line">
          <a:avLst/>
        </a:prstGeom>
        <a:ln>
          <a:solidFill>
            <a:srgbClr val="FF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60357</xdr:colOff>
      <xdr:row>14</xdr:row>
      <xdr:rowOff>60928</xdr:rowOff>
    </xdr:from>
    <xdr:to>
      <xdr:col>28</xdr:col>
      <xdr:colOff>473942</xdr:colOff>
      <xdr:row>15</xdr:row>
      <xdr:rowOff>67195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6EC62CB-ABC5-4C53-9EF1-8FC1774DDA46}"/>
            </a:ext>
          </a:extLst>
        </xdr:cNvPr>
        <xdr:cNvSpPr txBox="1"/>
      </xdr:nvSpPr>
      <xdr:spPr>
        <a:xfrm>
          <a:off x="13628622" y="2374142"/>
          <a:ext cx="413585" cy="17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500"/>
            <a:t>95% VaR</a:t>
          </a:r>
        </a:p>
      </xdr:txBody>
    </xdr:sp>
    <xdr:clientData/>
  </xdr:twoCellAnchor>
  <xdr:twoCellAnchor>
    <xdr:from>
      <xdr:col>27</xdr:col>
      <xdr:colOff>68629</xdr:colOff>
      <xdr:row>14</xdr:row>
      <xdr:rowOff>62934</xdr:rowOff>
    </xdr:from>
    <xdr:to>
      <xdr:col>27</xdr:col>
      <xdr:colOff>482214</xdr:colOff>
      <xdr:row>15</xdr:row>
      <xdr:rowOff>69201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3CF8C0-8C98-41A3-86E2-72B89634DA0E}"/>
            </a:ext>
          </a:extLst>
        </xdr:cNvPr>
        <xdr:cNvSpPr txBox="1"/>
      </xdr:nvSpPr>
      <xdr:spPr>
        <a:xfrm>
          <a:off x="13024573" y="2376148"/>
          <a:ext cx="413585" cy="17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500"/>
            <a:t>99% VaR</a:t>
          </a:r>
        </a:p>
      </xdr:txBody>
    </xdr:sp>
    <xdr:clientData/>
  </xdr:twoCellAnchor>
  <xdr:twoCellAnchor>
    <xdr:from>
      <xdr:col>17</xdr:col>
      <xdr:colOff>0</xdr:colOff>
      <xdr:row>20</xdr:row>
      <xdr:rowOff>73269</xdr:rowOff>
    </xdr:from>
    <xdr:to>
      <xdr:col>22</xdr:col>
      <xdr:colOff>976923</xdr:colOff>
      <xdr:row>42</xdr:row>
      <xdr:rowOff>106623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97A12-A64F-4717-A46E-F32D97C40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22</xdr:row>
      <xdr:rowOff>0</xdr:rowOff>
    </xdr:from>
    <xdr:to>
      <xdr:col>15</xdr:col>
      <xdr:colOff>1972685</xdr:colOff>
      <xdr:row>39</xdr:row>
      <xdr:rowOff>11174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9437EC-FB27-43C1-B1A5-EB8EEF90E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1E486E09-926F-488F-A98B-DB8A6FB31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  <a:noFill/>
        <a:ln w="9525" cmpd="sng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4392275" cy="4505325"/>
    <xdr:pic>
      <xdr:nvPicPr>
        <xdr:cNvPr id="3" name="Picture 2">
          <a:extLst>
            <a:ext uri="{FF2B5EF4-FFF2-40B4-BE49-F238E27FC236}">
              <a16:creationId xmlns:a16="http://schemas.microsoft.com/office/drawing/2014/main" id="{D1C91F34-C835-4C36-89BC-27308D33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00"/>
          <a:ext cx="14392275" cy="450532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4BB2893B-9BDD-4E76-BFF9-2B965D78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  <a:noFill/>
        <a:ln w="9525" cmpd="sng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4392275" cy="4505325"/>
    <xdr:pic>
      <xdr:nvPicPr>
        <xdr:cNvPr id="3" name="Picture 2">
          <a:extLst>
            <a:ext uri="{FF2B5EF4-FFF2-40B4-BE49-F238E27FC236}">
              <a16:creationId xmlns:a16="http://schemas.microsoft.com/office/drawing/2014/main" id="{638941C4-5250-4123-8EC9-07D7D26B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00"/>
          <a:ext cx="14392275" cy="450532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97BEBF7D-7889-4CEC-8815-AE49B48D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  <a:noFill/>
        <a:ln w="9525" cmpd="sng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4392275" cy="4505325"/>
    <xdr:pic>
      <xdr:nvPicPr>
        <xdr:cNvPr id="3" name="Picture 2">
          <a:extLst>
            <a:ext uri="{FF2B5EF4-FFF2-40B4-BE49-F238E27FC236}">
              <a16:creationId xmlns:a16="http://schemas.microsoft.com/office/drawing/2014/main" id="{8639F8E9-06D5-4FE8-9079-0C40AC61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00"/>
          <a:ext cx="14392275" cy="450532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6336F31-E1D7-4399-AFF2-D5ABFB217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  <a:noFill/>
        <a:ln w="9525" cmpd="sng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4392275" cy="4505325"/>
    <xdr:pic>
      <xdr:nvPicPr>
        <xdr:cNvPr id="3" name="Picture 2">
          <a:extLst>
            <a:ext uri="{FF2B5EF4-FFF2-40B4-BE49-F238E27FC236}">
              <a16:creationId xmlns:a16="http://schemas.microsoft.com/office/drawing/2014/main" id="{46783F8F-2B03-400E-AACB-1FC462816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00"/>
          <a:ext cx="14392275" cy="450532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8647AB04-F8E5-4DF1-BEAC-0C4A1339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  <a:noFill/>
        <a:ln w="9525" cmpd="sng">
          <a:noFill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14392275" cy="4505325"/>
    <xdr:pic>
      <xdr:nvPicPr>
        <xdr:cNvPr id="3" name="Picture 2">
          <a:extLst>
            <a:ext uri="{FF2B5EF4-FFF2-40B4-BE49-F238E27FC236}">
              <a16:creationId xmlns:a16="http://schemas.microsoft.com/office/drawing/2014/main" id="{16866308-B40E-4B2D-816F-6BE5A26C3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00"/>
          <a:ext cx="14392275" cy="450532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8D69-D9C8-483F-8209-62AC7479227F}">
  <dimension ref="A1:G59"/>
  <sheetViews>
    <sheetView topLeftCell="A21" zoomScale="74" zoomScaleNormal="122" workbookViewId="0">
      <selection activeCell="A55" sqref="A55:E55"/>
    </sheetView>
  </sheetViews>
  <sheetFormatPr defaultRowHeight="12.75" x14ac:dyDescent="0.2"/>
  <cols>
    <col min="1" max="1" width="56.140625" customWidth="1"/>
    <col min="2" max="3" width="21.85546875" bestFit="1" customWidth="1"/>
    <col min="4" max="5" width="24.28515625" bestFit="1" customWidth="1"/>
    <col min="6" max="7" width="26.85546875" bestFit="1" customWidth="1"/>
  </cols>
  <sheetData>
    <row r="1" spans="1:5" ht="18" x14ac:dyDescent="0.25">
      <c r="A1" s="85" t="s">
        <v>53</v>
      </c>
      <c r="B1" s="85"/>
      <c r="C1" s="85"/>
      <c r="D1" s="85"/>
      <c r="E1" s="85"/>
    </row>
    <row r="3" spans="1:5" ht="14.25" x14ac:dyDescent="0.2">
      <c r="A3" s="86" t="s">
        <v>54</v>
      </c>
      <c r="B3" s="86"/>
      <c r="C3" s="86"/>
      <c r="D3" s="86"/>
      <c r="E3" s="86"/>
    </row>
    <row r="4" spans="1:5" ht="14.25" x14ac:dyDescent="0.2">
      <c r="A4" s="35" t="s">
        <v>55</v>
      </c>
      <c r="B4" s="35" t="s">
        <v>19</v>
      </c>
      <c r="C4" s="35" t="s">
        <v>56</v>
      </c>
      <c r="D4" s="35" t="s">
        <v>57</v>
      </c>
      <c r="E4" s="35" t="s">
        <v>58</v>
      </c>
    </row>
    <row r="5" spans="1:5" ht="14.25" x14ac:dyDescent="0.2">
      <c r="A5" s="36" t="s">
        <v>59</v>
      </c>
      <c r="B5" s="37">
        <v>0.2</v>
      </c>
      <c r="C5" s="38">
        <f>B5*B11</f>
        <v>100000</v>
      </c>
      <c r="D5" s="39">
        <f>Calculation!C16</f>
        <v>2058.424532482255</v>
      </c>
      <c r="E5" s="40">
        <f>C5/D5</f>
        <v>48.580843466439823</v>
      </c>
    </row>
    <row r="6" spans="1:5" ht="14.25" x14ac:dyDescent="0.2">
      <c r="A6" s="36" t="s">
        <v>60</v>
      </c>
      <c r="B6" s="37">
        <v>0.2</v>
      </c>
      <c r="C6" s="38">
        <f>B6*B11</f>
        <v>100000</v>
      </c>
      <c r="D6" s="39">
        <f>Calculation!D16</f>
        <v>3071</v>
      </c>
      <c r="E6" s="40">
        <f>C6/D6</f>
        <v>32.562683165092807</v>
      </c>
    </row>
    <row r="7" spans="1:5" ht="14.25" x14ac:dyDescent="0.2">
      <c r="A7" s="36" t="s">
        <v>61</v>
      </c>
      <c r="B7" s="37">
        <v>0.2</v>
      </c>
      <c r="C7" s="38">
        <f>B7*B11</f>
        <v>100000</v>
      </c>
      <c r="D7" s="39">
        <f>Calculation!E16</f>
        <v>6638</v>
      </c>
      <c r="E7" s="40">
        <f>C7/D7</f>
        <v>15.064778547755347</v>
      </c>
    </row>
    <row r="8" spans="1:5" ht="14.25" x14ac:dyDescent="0.2">
      <c r="A8" s="36" t="s">
        <v>62</v>
      </c>
      <c r="B8" s="37">
        <v>0.2</v>
      </c>
      <c r="C8" s="38">
        <f>B8*B11</f>
        <v>100000</v>
      </c>
      <c r="D8" s="39">
        <f>Calculation!F16</f>
        <v>39062.217307213265</v>
      </c>
      <c r="E8" s="40">
        <f>C8/D8</f>
        <v>2.5600185266885478</v>
      </c>
    </row>
    <row r="9" spans="1:5" ht="14.25" x14ac:dyDescent="0.2">
      <c r="A9" s="36" t="s">
        <v>63</v>
      </c>
      <c r="B9" s="37">
        <v>0.2</v>
      </c>
      <c r="C9" s="38">
        <f>B9*B11</f>
        <v>100000</v>
      </c>
      <c r="D9" s="39">
        <f>Calculation!G16</f>
        <v>11117</v>
      </c>
      <c r="E9" s="40">
        <f>C9/D9</f>
        <v>8.995232526760816</v>
      </c>
    </row>
    <row r="10" spans="1:5" ht="14.25" x14ac:dyDescent="0.2">
      <c r="A10" s="41" t="s">
        <v>64</v>
      </c>
      <c r="B10" s="42">
        <f>SUM(B5:B9)</f>
        <v>1</v>
      </c>
      <c r="C10" s="43">
        <f>SUM(C5:C9)</f>
        <v>500000</v>
      </c>
      <c r="D10" s="36"/>
      <c r="E10" s="36"/>
    </row>
    <row r="11" spans="1:5" ht="14.25" x14ac:dyDescent="0.2">
      <c r="A11" s="41" t="s">
        <v>65</v>
      </c>
      <c r="B11" s="44">
        <v>500000</v>
      </c>
      <c r="C11" s="36"/>
      <c r="D11" s="36"/>
      <c r="E11" s="36"/>
    </row>
    <row r="12" spans="1:5" x14ac:dyDescent="0.2">
      <c r="A12" s="36"/>
      <c r="B12" s="36"/>
      <c r="C12" s="36"/>
      <c r="D12" s="36"/>
      <c r="E12" s="36"/>
    </row>
    <row r="13" spans="1:5" ht="14.25" x14ac:dyDescent="0.2">
      <c r="A13" s="36" t="s">
        <v>66</v>
      </c>
      <c r="B13" s="37">
        <v>0.95</v>
      </c>
      <c r="C13" s="36"/>
      <c r="D13" s="36"/>
      <c r="E13" s="36"/>
    </row>
    <row r="14" spans="1:5" ht="14.25" x14ac:dyDescent="0.2">
      <c r="A14" s="36" t="s">
        <v>67</v>
      </c>
      <c r="B14" s="37">
        <v>0.99</v>
      </c>
      <c r="C14" s="36"/>
      <c r="D14" s="36"/>
      <c r="E14" s="36"/>
    </row>
    <row r="15" spans="1:5" ht="14.25" x14ac:dyDescent="0.2">
      <c r="A15" s="36" t="s">
        <v>68</v>
      </c>
      <c r="B15" s="45">
        <v>1</v>
      </c>
      <c r="C15" s="36"/>
      <c r="D15" s="36"/>
      <c r="E15" s="36"/>
    </row>
    <row r="16" spans="1:5" ht="14.25" x14ac:dyDescent="0.2">
      <c r="A16" s="36" t="s">
        <v>69</v>
      </c>
      <c r="B16" s="45">
        <v>10</v>
      </c>
      <c r="C16" s="36"/>
      <c r="D16" s="36"/>
      <c r="E16" s="36"/>
    </row>
    <row r="17" spans="1:5" x14ac:dyDescent="0.2">
      <c r="A17" s="36" t="s">
        <v>70</v>
      </c>
      <c r="B17" s="46">
        <f>_xlfn.NORM.S.INV(B13)</f>
        <v>1.6448536269514715</v>
      </c>
      <c r="C17" s="36"/>
      <c r="D17" s="36"/>
      <c r="E17" s="36"/>
    </row>
    <row r="18" spans="1:5" x14ac:dyDescent="0.2">
      <c r="A18" s="36" t="s">
        <v>71</v>
      </c>
      <c r="B18" s="46">
        <f>_xlfn.NORM.S.INV(B14)</f>
        <v>2.3263478740408408</v>
      </c>
      <c r="C18" s="36"/>
      <c r="D18" s="36"/>
      <c r="E18" s="36"/>
    </row>
    <row r="19" spans="1:5" x14ac:dyDescent="0.2">
      <c r="A19" s="36" t="s">
        <v>72</v>
      </c>
      <c r="B19" s="36">
        <f>COUNT(Calculation!A16:A1253)</f>
        <v>247</v>
      </c>
      <c r="C19" s="36"/>
      <c r="D19" s="36"/>
      <c r="E19" s="36"/>
    </row>
    <row r="22" spans="1:5" ht="15.75" x14ac:dyDescent="0.25">
      <c r="A22" s="87" t="s">
        <v>73</v>
      </c>
      <c r="B22" s="87"/>
      <c r="C22" s="87"/>
      <c r="D22" s="87"/>
      <c r="E22" s="87"/>
    </row>
    <row r="23" spans="1:5" ht="14.25" x14ac:dyDescent="0.2">
      <c r="A23" s="47" t="s">
        <v>74</v>
      </c>
      <c r="B23" s="47" t="s">
        <v>75</v>
      </c>
    </row>
    <row r="24" spans="1:5" x14ac:dyDescent="0.2">
      <c r="A24" s="36" t="s">
        <v>76</v>
      </c>
      <c r="B24" s="48">
        <f>AVERAGE(Calculation!N16:N1252)</f>
        <v>2.9559020194086245E-4</v>
      </c>
    </row>
    <row r="25" spans="1:5" x14ac:dyDescent="0.2">
      <c r="A25" s="36" t="s">
        <v>77</v>
      </c>
      <c r="B25" s="48">
        <f>_xlfn.STDEV.S(Calculation!N16:N1252)</f>
        <v>9.9236269168209001E-3</v>
      </c>
    </row>
    <row r="26" spans="1:5" x14ac:dyDescent="0.2">
      <c r="A26" s="36" t="s">
        <v>78</v>
      </c>
      <c r="B26" s="48">
        <f>_xlfn.PERCENTILE.EXC(Calculation!N16:N1252,1-B13)</f>
        <v>-1.5851940905625365E-2</v>
      </c>
    </row>
    <row r="27" spans="1:5" x14ac:dyDescent="0.2">
      <c r="A27" s="36" t="s">
        <v>79</v>
      </c>
      <c r="B27" s="48">
        <f>_xlfn.PERCENTILE.EXC(Calculation!N16:N1252,1-B14)</f>
        <v>-3.1647714984896436E-2</v>
      </c>
    </row>
    <row r="28" spans="1:5" ht="14.25" x14ac:dyDescent="0.2">
      <c r="A28" s="36" t="s">
        <v>80</v>
      </c>
      <c r="B28" s="49">
        <f>-B26*$B$11</f>
        <v>7925.9704528126822</v>
      </c>
    </row>
    <row r="29" spans="1:5" ht="14.25" x14ac:dyDescent="0.2">
      <c r="A29" s="36" t="s">
        <v>81</v>
      </c>
      <c r="B29" s="49">
        <f>-B27*$B$11</f>
        <v>15823.857492448218</v>
      </c>
    </row>
    <row r="30" spans="1:5" ht="14.25" x14ac:dyDescent="0.2">
      <c r="A30" s="36" t="s">
        <v>82</v>
      </c>
      <c r="B30" s="49">
        <f>B28*SQRT(B16)</f>
        <v>25064.119298084199</v>
      </c>
    </row>
    <row r="31" spans="1:5" ht="14.25" x14ac:dyDescent="0.2">
      <c r="A31" s="36" t="s">
        <v>83</v>
      </c>
      <c r="B31" s="49">
        <f>B29*SQRT(B16)</f>
        <v>50039.431046057034</v>
      </c>
    </row>
    <row r="34" spans="1:7" ht="15.75" x14ac:dyDescent="0.25">
      <c r="A34" s="87" t="s">
        <v>84</v>
      </c>
      <c r="B34" s="87"/>
      <c r="C34" s="87"/>
      <c r="D34" s="87"/>
      <c r="E34" s="87"/>
    </row>
    <row r="35" spans="1:7" ht="14.25" x14ac:dyDescent="0.2">
      <c r="A35" s="47" t="s">
        <v>74</v>
      </c>
      <c r="B35" s="47" t="s">
        <v>75</v>
      </c>
    </row>
    <row r="36" spans="1:7" x14ac:dyDescent="0.2">
      <c r="A36" s="36" t="s">
        <v>76</v>
      </c>
      <c r="B36" s="48">
        <f>B24</f>
        <v>2.9559020194086245E-4</v>
      </c>
    </row>
    <row r="37" spans="1:7" x14ac:dyDescent="0.2">
      <c r="A37" s="36" t="s">
        <v>85</v>
      </c>
      <c r="B37" s="50" cm="1">
        <f t="array" ref="B37">MMULT(MMULT(TRANSPOSE(Summary!B5:B9),Calculation!AB4:AF8),Summary!B5:B9)</f>
        <v>9.8478371184252322E-5</v>
      </c>
    </row>
    <row r="38" spans="1:7" x14ac:dyDescent="0.2">
      <c r="A38" s="36" t="s">
        <v>86</v>
      </c>
      <c r="B38" s="48">
        <f>SQRT(B37)</f>
        <v>9.9236269168209018E-3</v>
      </c>
    </row>
    <row r="39" spans="1:7" ht="14.25" x14ac:dyDescent="0.2">
      <c r="A39" s="36" t="s">
        <v>87</v>
      </c>
      <c r="B39" s="49">
        <f>(B17*B38-B36)*$B$11</f>
        <v>8013.6617623526236</v>
      </c>
    </row>
    <row r="40" spans="1:7" ht="14.25" x14ac:dyDescent="0.2">
      <c r="A40" s="36" t="s">
        <v>88</v>
      </c>
      <c r="B40" s="49">
        <f>(B18*B38-B36)*$B$11</f>
        <v>11395.109089389953</v>
      </c>
    </row>
    <row r="41" spans="1:7" ht="14.25" x14ac:dyDescent="0.2">
      <c r="A41" s="36" t="s">
        <v>89</v>
      </c>
      <c r="B41" s="49">
        <f>B39*SQRT(B16)</f>
        <v>25341.423567233269</v>
      </c>
    </row>
    <row r="42" spans="1:7" ht="14.25" x14ac:dyDescent="0.2">
      <c r="A42" s="36" t="s">
        <v>90</v>
      </c>
      <c r="B42" s="49">
        <f>B40*SQRT(B16)</f>
        <v>36034.498908559493</v>
      </c>
    </row>
    <row r="45" spans="1:7" ht="15.75" x14ac:dyDescent="0.25">
      <c r="A45" s="87" t="s">
        <v>91</v>
      </c>
      <c r="B45" s="87"/>
      <c r="C45" s="87"/>
      <c r="D45" s="87"/>
      <c r="E45" s="87"/>
      <c r="F45" s="87"/>
      <c r="G45" s="87"/>
    </row>
    <row r="46" spans="1:7" ht="14.25" x14ac:dyDescent="0.2">
      <c r="A46" s="35" t="s">
        <v>55</v>
      </c>
      <c r="B46" s="35" t="s">
        <v>56</v>
      </c>
      <c r="C46" s="35" t="s">
        <v>92</v>
      </c>
      <c r="D46" s="35" t="s">
        <v>93</v>
      </c>
      <c r="E46" s="35" t="s">
        <v>94</v>
      </c>
      <c r="F46" s="35" t="s">
        <v>95</v>
      </c>
      <c r="G46" s="35" t="s">
        <v>96</v>
      </c>
    </row>
    <row r="47" spans="1:7" x14ac:dyDescent="0.2">
      <c r="A47" s="36" t="s">
        <v>59</v>
      </c>
      <c r="B47" s="38">
        <f>C5</f>
        <v>100000</v>
      </c>
      <c r="C47" s="52">
        <f>_xlfn.STDEV.S(Calculation!I16:I1252)</f>
        <v>1.3239010066866903E-2</v>
      </c>
      <c r="D47" s="38">
        <f>-_xlfn.PERCENTILE.EXC(Calculation!I16:I1252,1-B13)*B47</f>
        <v>1901.0047886631489</v>
      </c>
      <c r="E47" s="38">
        <f>-_xlfn.PERCENTILE.EXC(Calculation!I16:I1252,1-B14)*B47</f>
        <v>3772.0077523481832</v>
      </c>
      <c r="F47" s="38">
        <f>B17*C47*B47</f>
        <v>2177.6233725733068</v>
      </c>
      <c r="G47" s="38">
        <f>B18*C47*B47</f>
        <v>3079.8542923461109</v>
      </c>
    </row>
    <row r="48" spans="1:7" x14ac:dyDescent="0.2">
      <c r="A48" s="36" t="s">
        <v>60</v>
      </c>
      <c r="B48" s="38">
        <f>C6</f>
        <v>100000</v>
      </c>
      <c r="C48" s="52">
        <f>_xlfn.STDEV.S(Calculation!J16:J1252)</f>
        <v>1.2982775264014323E-2</v>
      </c>
      <c r="D48" s="38">
        <f>-_xlfn.PERCENTILE.EXC(Calculation!J16:J1252,1-B13)*B48</f>
        <v>2073.836560888652</v>
      </c>
      <c r="E48" s="38">
        <f>-_xlfn.PERCENTILE.EXC(Calculation!J16:J1252,1-B14)*B48</f>
        <v>3530.1901200721909</v>
      </c>
      <c r="F48" s="38">
        <f>B17*C48*B48</f>
        <v>2135.4764980909808</v>
      </c>
      <c r="G48" s="38">
        <f>B18*C48*B48</f>
        <v>3020.2451634589734</v>
      </c>
    </row>
    <row r="49" spans="1:7" x14ac:dyDescent="0.2">
      <c r="A49" s="36" t="s">
        <v>61</v>
      </c>
      <c r="B49" s="38">
        <f>C7</f>
        <v>100000</v>
      </c>
      <c r="C49" s="52">
        <f>_xlfn.STDEV.S(Calculation!K16:K1252)</f>
        <v>1.3993616162055411E-2</v>
      </c>
      <c r="D49" s="38">
        <f>-_xlfn.PERCENTILE.EXC(Calculation!K16:K1252,1-B13)*B49</f>
        <v>2286.4068042863923</v>
      </c>
      <c r="E49" s="38">
        <f>-_xlfn.PERCENTILE.EXC(Calculation!K16:K1252,1-B14)*B49</f>
        <v>3608.0655795952189</v>
      </c>
      <c r="F49" s="38">
        <f>B17*C49*B49</f>
        <v>2301.7450298323574</v>
      </c>
      <c r="G49" s="38">
        <f>B18*C49*B49</f>
        <v>3255.4019208741151</v>
      </c>
    </row>
    <row r="50" spans="1:7" x14ac:dyDescent="0.2">
      <c r="A50" s="36" t="s">
        <v>62</v>
      </c>
      <c r="B50" s="38">
        <f>C8</f>
        <v>100000</v>
      </c>
      <c r="C50" s="52">
        <f>_xlfn.STDEV.S(Calculation!L16:L1252)</f>
        <v>1.8395446184403173E-2</v>
      </c>
      <c r="D50" s="38">
        <f>-_xlfn.PERCENTILE.EXC(Calculation!L16:L1252,1-B13)*B50</f>
        <v>2620.91862403817</v>
      </c>
      <c r="E50" s="38">
        <f>-_xlfn.PERCENTILE.EXC(Calculation!L16:L1252,1-B14)*B50</f>
        <v>5538.179978372711</v>
      </c>
      <c r="F50" s="38">
        <f>B17*C50*B50</f>
        <v>3025.7816375806169</v>
      </c>
      <c r="G50" s="38">
        <f>B18*C50*B50</f>
        <v>4279.4207123119013</v>
      </c>
    </row>
    <row r="51" spans="1:7" x14ac:dyDescent="0.2">
      <c r="A51" s="36" t="s">
        <v>63</v>
      </c>
      <c r="B51" s="38">
        <f>C9</f>
        <v>100000</v>
      </c>
      <c r="C51" s="52">
        <f>_xlfn.STDEV.S(Calculation!M16:M1252)</f>
        <v>1.4400448727118537E-2</v>
      </c>
      <c r="D51" s="38">
        <f>-_xlfn.PERCENTILE.EXC(Calculation!M16:M1252,1-B13)*B51</f>
        <v>2205.3953697239845</v>
      </c>
      <c r="E51" s="38">
        <f>-_xlfn.PERCENTILE.EXC(Calculation!M16:M1252,1-B14)*B51</f>
        <v>4812.2687937499786</v>
      </c>
      <c r="F51" s="38">
        <f>B17*C51*B51</f>
        <v>2368.6630318529628</v>
      </c>
      <c r="G51" s="38">
        <f>B18*C51*B51</f>
        <v>3350.0453281566338</v>
      </c>
    </row>
    <row r="52" spans="1:7" ht="14.25" x14ac:dyDescent="0.2">
      <c r="A52" s="41" t="s">
        <v>97</v>
      </c>
      <c r="B52" s="43">
        <f>SUM(B47:B51)</f>
        <v>500000</v>
      </c>
      <c r="C52" s="36"/>
      <c r="D52" s="43">
        <f>SUM(D47:D51)</f>
        <v>11087.562147600347</v>
      </c>
      <c r="E52" s="43">
        <f>SUM(E47:E51)</f>
        <v>21260.712224138282</v>
      </c>
      <c r="F52" s="43">
        <f>SUM(F47:F51)</f>
        <v>12009.289569930224</v>
      </c>
      <c r="G52" s="43">
        <f>SUM(G47:G51)</f>
        <v>16984.967417147735</v>
      </c>
    </row>
    <row r="55" spans="1:7" ht="15.75" x14ac:dyDescent="0.25">
      <c r="A55" s="84" t="s">
        <v>98</v>
      </c>
      <c r="B55" s="84"/>
      <c r="C55" s="84"/>
      <c r="D55" s="84"/>
      <c r="E55" s="84"/>
    </row>
    <row r="56" spans="1:7" x14ac:dyDescent="0.2">
      <c r="A56" s="36" t="s">
        <v>99</v>
      </c>
      <c r="B56" s="38">
        <f>F52</f>
        <v>12009.289569930224</v>
      </c>
    </row>
    <row r="57" spans="1:7" x14ac:dyDescent="0.2">
      <c r="A57" s="36" t="s">
        <v>100</v>
      </c>
      <c r="B57" s="38">
        <f>B39</f>
        <v>8013.6617623526236</v>
      </c>
    </row>
    <row r="58" spans="1:7" ht="14.25" x14ac:dyDescent="0.2">
      <c r="A58" s="41" t="s">
        <v>101</v>
      </c>
      <c r="B58" s="43">
        <f>B56-B57</f>
        <v>3995.6278075776008</v>
      </c>
    </row>
    <row r="59" spans="1:7" x14ac:dyDescent="0.2">
      <c r="A59" s="36" t="s">
        <v>102</v>
      </c>
      <c r="B59" s="53">
        <f>B58/B56</f>
        <v>0.3327114217965198</v>
      </c>
    </row>
  </sheetData>
  <mergeCells count="6">
    <mergeCell ref="A55:E55"/>
    <mergeCell ref="A1:E1"/>
    <mergeCell ref="A3:E3"/>
    <mergeCell ref="A22:E22"/>
    <mergeCell ref="A34:E34"/>
    <mergeCell ref="A45:G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11"/>
  <sheetViews>
    <sheetView zoomScale="75" zoomScaleNormal="102" workbookViewId="0">
      <selection activeCell="C16" sqref="C16"/>
    </sheetView>
  </sheetViews>
  <sheetFormatPr defaultRowHeight="12.75" x14ac:dyDescent="0.2"/>
  <cols>
    <col min="1" max="1" width="15.85546875" customWidth="1"/>
    <col min="2" max="2" width="23.140625" customWidth="1"/>
    <col min="3" max="3" width="15.85546875" bestFit="1" customWidth="1"/>
    <col min="4" max="4" width="16.5703125" bestFit="1" customWidth="1"/>
    <col min="5" max="5" width="17.7109375" bestFit="1" customWidth="1"/>
    <col min="6" max="6" width="10" bestFit="1" customWidth="1"/>
    <col min="7" max="7" width="17.7109375" bestFit="1" customWidth="1"/>
    <col min="9" max="9" width="12" bestFit="1" customWidth="1"/>
    <col min="10" max="10" width="16.85546875" bestFit="1" customWidth="1"/>
    <col min="11" max="11" width="18" bestFit="1" customWidth="1"/>
    <col min="12" max="12" width="7.85546875" bestFit="1" customWidth="1"/>
    <col min="13" max="13" width="18.140625" bestFit="1" customWidth="1"/>
    <col min="14" max="14" width="14.140625" bestFit="1" customWidth="1"/>
    <col min="15" max="15" width="15.85546875" bestFit="1" customWidth="1"/>
    <col min="16" max="16" width="16.7109375" bestFit="1" customWidth="1"/>
    <col min="17" max="17" width="12.85546875" bestFit="1" customWidth="1"/>
    <col min="18" max="18" width="12.85546875" customWidth="1"/>
    <col min="19" max="19" width="16.7109375" style="25" bestFit="1" customWidth="1"/>
    <col min="20" max="20" width="16.140625" bestFit="1" customWidth="1"/>
    <col min="21" max="21" width="15.42578125" bestFit="1" customWidth="1"/>
    <col min="22" max="22" width="16.85546875" bestFit="1" customWidth="1"/>
    <col min="23" max="23" width="15.5703125" bestFit="1" customWidth="1"/>
    <col min="24" max="24" width="21.42578125" bestFit="1" customWidth="1"/>
    <col min="25" max="25" width="16.42578125" bestFit="1" customWidth="1"/>
    <col min="26" max="26" width="12.42578125" bestFit="1" customWidth="1"/>
    <col min="27" max="27" width="16.7109375" customWidth="1"/>
    <col min="28" max="28" width="12.85546875" bestFit="1" customWidth="1"/>
    <col min="29" max="29" width="15.7109375" bestFit="1" customWidth="1"/>
    <col min="30" max="30" width="16.7109375" bestFit="1" customWidth="1"/>
    <col min="31" max="31" width="12.85546875" bestFit="1" customWidth="1"/>
    <col min="32" max="32" width="16.42578125" bestFit="1" customWidth="1"/>
    <col min="34" max="34" width="9.28515625" bestFit="1" customWidth="1"/>
    <col min="36" max="40" width="9.28515625" bestFit="1" customWidth="1"/>
  </cols>
  <sheetData>
    <row r="1" spans="1:50" x14ac:dyDescent="0.2">
      <c r="A1" s="3" t="s">
        <v>24</v>
      </c>
      <c r="S1" s="26" t="s">
        <v>51</v>
      </c>
      <c r="AA1" s="83" t="s">
        <v>52</v>
      </c>
      <c r="AB1" s="83"/>
      <c r="AC1" s="83"/>
      <c r="AD1" s="83"/>
      <c r="AE1" s="83"/>
      <c r="AF1" s="83"/>
      <c r="AG1" s="18"/>
      <c r="AX1" s="3" t="s">
        <v>23</v>
      </c>
    </row>
    <row r="2" spans="1:50" x14ac:dyDescent="0.2">
      <c r="AX2" t="s">
        <v>28</v>
      </c>
    </row>
    <row r="3" spans="1:50" ht="13.5" thickBot="1" x14ac:dyDescent="0.25">
      <c r="A3" s="5" t="s">
        <v>22</v>
      </c>
      <c r="B3" s="4"/>
      <c r="C3" s="4"/>
      <c r="D3" s="4"/>
      <c r="U3" s="13" t="s">
        <v>29</v>
      </c>
      <c r="V3" s="13" t="s">
        <v>30</v>
      </c>
      <c r="W3" s="13" t="s">
        <v>31</v>
      </c>
      <c r="X3" s="13" t="s">
        <v>32</v>
      </c>
      <c r="Y3" s="13" t="s">
        <v>33</v>
      </c>
      <c r="AA3" s="14" t="s">
        <v>40</v>
      </c>
      <c r="AB3" s="7" t="s">
        <v>29</v>
      </c>
      <c r="AC3" s="7" t="s">
        <v>30</v>
      </c>
      <c r="AD3" s="7" t="s">
        <v>31</v>
      </c>
      <c r="AE3" s="17" t="s">
        <v>32</v>
      </c>
      <c r="AF3" s="7" t="s">
        <v>33</v>
      </c>
      <c r="AH3" s="5" t="s">
        <v>37</v>
      </c>
      <c r="AI3" s="15" t="s">
        <v>39</v>
      </c>
      <c r="AJ3" s="4">
        <f>AH4</f>
        <v>0.2</v>
      </c>
      <c r="AK3" s="4">
        <f>AH5</f>
        <v>0.2</v>
      </c>
      <c r="AL3" s="4">
        <f>AH6</f>
        <v>0.2</v>
      </c>
      <c r="AM3" s="4">
        <f>AH7</f>
        <v>0.2</v>
      </c>
      <c r="AN3" s="4">
        <f>AH8</f>
        <v>0.2</v>
      </c>
      <c r="AX3" t="s">
        <v>25</v>
      </c>
    </row>
    <row r="4" spans="1:50" ht="13.5" thickBot="1" x14ac:dyDescent="0.25">
      <c r="A4" s="4"/>
      <c r="B4" s="5" t="s">
        <v>21</v>
      </c>
      <c r="C4" s="5" t="s">
        <v>20</v>
      </c>
      <c r="D4" s="5" t="s">
        <v>19</v>
      </c>
      <c r="E4" s="4" t="s">
        <v>209</v>
      </c>
      <c r="H4" s="2" t="s">
        <v>46</v>
      </c>
      <c r="I4" s="11">
        <f>Q11</f>
        <v>-7925.9704528126831</v>
      </c>
      <c r="T4" s="4" t="s">
        <v>35</v>
      </c>
      <c r="U4" s="19">
        <f>_xlfn.STDEV.S(I16:I261)</f>
        <v>1.3239010066866903E-2</v>
      </c>
      <c r="V4" s="19">
        <f>_xlfn.STDEV.S(J16:J261)</f>
        <v>1.2982775264014323E-2</v>
      </c>
      <c r="W4" s="19">
        <f>_xlfn.STDEV.S(K16:K261)</f>
        <v>1.3993616162055411E-2</v>
      </c>
      <c r="X4" s="19">
        <f>_xlfn.STDEV.S(L16:L261)</f>
        <v>1.8395446184403173E-2</v>
      </c>
      <c r="Y4" s="19">
        <f>_xlfn.STDEV.S(M16:M261)</f>
        <v>1.4400448727118537E-2</v>
      </c>
      <c r="AA4" s="7" t="s">
        <v>29</v>
      </c>
      <c r="AB4" s="54">
        <f>U5</f>
        <v>1.7527138755060322E-4</v>
      </c>
      <c r="AC4" s="51">
        <f>_xlfn.COVARIANCE.S(I16:I261,J16:J261)</f>
        <v>5.0772525196253323E-5</v>
      </c>
      <c r="AD4" s="51">
        <f>_xlfn.COVARIANCE.S(I16:I261,K16:K261)</f>
        <v>3.4108086994133467E-5</v>
      </c>
      <c r="AE4" s="55">
        <f>_xlfn.COVARIANCE.S(I16:I261,L16:L261)</f>
        <v>5.9725361294296484E-5</v>
      </c>
      <c r="AF4" s="51">
        <f>_xlfn.COVARIANCE.S(I16:I261,M16:M261)</f>
        <v>7.6565590534307973E-5</v>
      </c>
      <c r="AH4" s="4">
        <f>D5</f>
        <v>0.2</v>
      </c>
      <c r="AX4" s="1" t="s">
        <v>18</v>
      </c>
    </row>
    <row r="5" spans="1:50" x14ac:dyDescent="0.2">
      <c r="A5" s="4" t="s">
        <v>5</v>
      </c>
      <c r="B5" s="4" t="s">
        <v>29</v>
      </c>
      <c r="C5" s="8">
        <v>100000</v>
      </c>
      <c r="D5" s="4">
        <f>C5/$C$10</f>
        <v>0.2</v>
      </c>
      <c r="E5" s="4">
        <v>1375.85</v>
      </c>
      <c r="T5" s="4" t="s">
        <v>36</v>
      </c>
      <c r="U5" s="19">
        <f>U4^2</f>
        <v>1.7527138755060322E-4</v>
      </c>
      <c r="V5" s="19">
        <f>V4^2</f>
        <v>1.6855245355590218E-4</v>
      </c>
      <c r="W5" s="19">
        <f>W4^2</f>
        <v>1.958212932909384E-4</v>
      </c>
      <c r="X5" s="19">
        <f>X4^2</f>
        <v>3.3839244032327325E-4</v>
      </c>
      <c r="Y5" s="19">
        <f>Y4^2</f>
        <v>2.073729235423699E-4</v>
      </c>
      <c r="AA5" s="7" t="s">
        <v>30</v>
      </c>
      <c r="AB5" s="54">
        <f>AC4</f>
        <v>5.0772525196253323E-5</v>
      </c>
      <c r="AC5" s="51">
        <f>V5</f>
        <v>1.6855245355590218E-4</v>
      </c>
      <c r="AD5" s="51">
        <f>_xlfn.COVARIANCE.S(K16:K261,J16:J261)</f>
        <v>3.297814696645897E-5</v>
      </c>
      <c r="AE5" s="55">
        <f>_xlfn.COVARIANCE.S(J16:J261,L16:L261)</f>
        <v>9.677240697856443E-5</v>
      </c>
      <c r="AF5" s="51">
        <f>_xlfn.COVARIANCE.S(M16:M261,J16:J261)</f>
        <v>9.8631246958158037E-5</v>
      </c>
      <c r="AH5" s="4">
        <f>D6</f>
        <v>0.2</v>
      </c>
      <c r="AX5" s="1" t="s">
        <v>17</v>
      </c>
    </row>
    <row r="6" spans="1:50" x14ac:dyDescent="0.2">
      <c r="A6" s="4" t="s">
        <v>4</v>
      </c>
      <c r="B6" s="4" t="s">
        <v>30</v>
      </c>
      <c r="C6" s="8">
        <v>100000</v>
      </c>
      <c r="D6" s="4">
        <f>C6/$C$10</f>
        <v>0.2</v>
      </c>
      <c r="E6" s="4">
        <v>3046.9</v>
      </c>
      <c r="AA6" s="7" t="s">
        <v>31</v>
      </c>
      <c r="AB6" s="54">
        <f>AD4</f>
        <v>3.4108086994133467E-5</v>
      </c>
      <c r="AC6" s="51">
        <f>AD5</f>
        <v>3.297814696645897E-5</v>
      </c>
      <c r="AD6" s="51">
        <f>W5</f>
        <v>1.958212932909384E-4</v>
      </c>
      <c r="AE6" s="55">
        <f>_xlfn.COVARIANCE.S(K16:K261,L16:L261)</f>
        <v>7.224722703771201E-5</v>
      </c>
      <c r="AF6" s="51">
        <f>_xlfn.COVARIANCE.S(K16:K261,M16:M261)</f>
        <v>5.0655131757285633E-5</v>
      </c>
      <c r="AH6" s="4">
        <f>D7</f>
        <v>0.2</v>
      </c>
      <c r="AX6" s="1" t="s">
        <v>16</v>
      </c>
    </row>
    <row r="7" spans="1:50" x14ac:dyDescent="0.2">
      <c r="A7" s="4" t="s">
        <v>3</v>
      </c>
      <c r="B7" s="4" t="s">
        <v>31</v>
      </c>
      <c r="C7" s="8">
        <v>100000</v>
      </c>
      <c r="D7" s="4">
        <f>C7/$C$10</f>
        <v>0.2</v>
      </c>
      <c r="E7" s="4">
        <v>6725</v>
      </c>
      <c r="AA7" s="7" t="s">
        <v>32</v>
      </c>
      <c r="AB7" s="54">
        <f>AE4</f>
        <v>5.9725361294296484E-5</v>
      </c>
      <c r="AC7" s="51">
        <f>AE5</f>
        <v>9.677240697856443E-5</v>
      </c>
      <c r="AD7" s="51">
        <f>AE6</f>
        <v>7.224722703771201E-5</v>
      </c>
      <c r="AE7" s="55">
        <f>X5</f>
        <v>3.3839244032327325E-4</v>
      </c>
      <c r="AF7" s="51">
        <f>_xlfn.COVARIANCE.S(L16:L261,M16:M261)</f>
        <v>1.1581866695444009E-4</v>
      </c>
      <c r="AH7" s="4">
        <f>D8</f>
        <v>0.2</v>
      </c>
      <c r="AX7" s="1" t="s">
        <v>15</v>
      </c>
    </row>
    <row r="8" spans="1:50" x14ac:dyDescent="0.2">
      <c r="A8" s="4" t="s">
        <v>2</v>
      </c>
      <c r="B8" s="4" t="s">
        <v>32</v>
      </c>
      <c r="C8" s="8">
        <v>100000</v>
      </c>
      <c r="D8" s="4">
        <f>C8/$C$10</f>
        <v>0.2</v>
      </c>
      <c r="E8" s="4">
        <v>31520</v>
      </c>
      <c r="AA8" s="7" t="s">
        <v>33</v>
      </c>
      <c r="AB8" s="54">
        <f>AF4</f>
        <v>7.6565590534307973E-5</v>
      </c>
      <c r="AC8" s="51">
        <f>AF5</f>
        <v>9.8631246958158037E-5</v>
      </c>
      <c r="AD8" s="51">
        <f>AF6</f>
        <v>5.0655131757285633E-5</v>
      </c>
      <c r="AE8" s="55">
        <f>AF7</f>
        <v>1.1581866695444009E-4</v>
      </c>
      <c r="AF8" s="51">
        <f>Y5</f>
        <v>2.073729235423699E-4</v>
      </c>
      <c r="AH8" s="4">
        <f>D9</f>
        <v>0.2</v>
      </c>
      <c r="AX8" t="s">
        <v>27</v>
      </c>
    </row>
    <row r="9" spans="1:50" ht="14.25" x14ac:dyDescent="0.2">
      <c r="A9" s="4" t="s">
        <v>1</v>
      </c>
      <c r="B9" s="4" t="s">
        <v>33</v>
      </c>
      <c r="C9" s="8">
        <v>100000</v>
      </c>
      <c r="D9" s="4">
        <f>C9/$C$10</f>
        <v>0.2</v>
      </c>
      <c r="E9" s="75">
        <v>11323</v>
      </c>
      <c r="T9" s="4" t="s">
        <v>38</v>
      </c>
      <c r="U9" s="51" cm="1">
        <f t="array" ref="U9">MMULT(MMULT(AJ3:AN3,AB4:AF8),AH4:AH8)</f>
        <v>9.8478371184252322E-5</v>
      </c>
      <c r="AX9" s="1" t="s">
        <v>14</v>
      </c>
    </row>
    <row r="10" spans="1:50" x14ac:dyDescent="0.2">
      <c r="A10" s="5" t="s">
        <v>13</v>
      </c>
      <c r="B10" s="5"/>
      <c r="C10" s="8">
        <f>SUM(C5:C9)</f>
        <v>500000</v>
      </c>
      <c r="D10" s="4">
        <f>SUM(D5:D9)</f>
        <v>1</v>
      </c>
      <c r="T10" s="4" t="s">
        <v>41</v>
      </c>
      <c r="U10" s="19">
        <f>SQRT(U9)</f>
        <v>9.9236269168209018E-3</v>
      </c>
      <c r="AX10" s="1" t="s">
        <v>12</v>
      </c>
    </row>
    <row r="11" spans="1:50" x14ac:dyDescent="0.2">
      <c r="P11" s="7" t="s">
        <v>47</v>
      </c>
      <c r="Q11" s="20">
        <f>_xlfn.PERCENTILE.EXC($P$16:$P$1252,0.05)</f>
        <v>-7925.9704528126831</v>
      </c>
      <c r="R11" s="23"/>
      <c r="AX11" s="1" t="s">
        <v>11</v>
      </c>
    </row>
    <row r="12" spans="1:50" x14ac:dyDescent="0.2">
      <c r="P12" s="7" t="s">
        <v>48</v>
      </c>
      <c r="Q12" s="12">
        <f>_xlfn.PERCENTILE.EXC(N16:N1252,0.05)</f>
        <v>-1.5851940905625365E-2</v>
      </c>
      <c r="R12" s="24"/>
      <c r="AX12" s="1" t="s">
        <v>10</v>
      </c>
    </row>
    <row r="13" spans="1:50" x14ac:dyDescent="0.2">
      <c r="AX13" t="s">
        <v>26</v>
      </c>
    </row>
    <row r="14" spans="1:50" ht="13.5" thickBot="1" x14ac:dyDescent="0.25">
      <c r="A14" s="4"/>
      <c r="B14" s="4"/>
      <c r="C14" s="82" t="s">
        <v>9</v>
      </c>
      <c r="D14" s="82"/>
      <c r="E14" s="82"/>
      <c r="F14" s="82"/>
      <c r="G14" s="82"/>
      <c r="I14" s="82" t="s">
        <v>8</v>
      </c>
      <c r="J14" s="82"/>
      <c r="K14" s="82"/>
      <c r="L14" s="82"/>
      <c r="M14" s="82"/>
    </row>
    <row r="15" spans="1:50" x14ac:dyDescent="0.2">
      <c r="A15" s="5" t="s">
        <v>7</v>
      </c>
      <c r="B15" s="6" t="s">
        <v>6</v>
      </c>
      <c r="C15" s="7" t="s">
        <v>29</v>
      </c>
      <c r="D15" s="7" t="s">
        <v>30</v>
      </c>
      <c r="E15" s="7" t="s">
        <v>31</v>
      </c>
      <c r="F15" s="7" t="s">
        <v>32</v>
      </c>
      <c r="G15" s="7" t="s">
        <v>33</v>
      </c>
      <c r="I15" s="7" t="s">
        <v>29</v>
      </c>
      <c r="J15" s="7" t="s">
        <v>30</v>
      </c>
      <c r="K15" s="7" t="s">
        <v>31</v>
      </c>
      <c r="L15" s="7" t="s">
        <v>32</v>
      </c>
      <c r="M15" s="17" t="s">
        <v>33</v>
      </c>
      <c r="N15" s="6" t="s">
        <v>0</v>
      </c>
      <c r="P15" s="27" t="s">
        <v>34</v>
      </c>
    </row>
    <row r="16" spans="1:50" ht="15" x14ac:dyDescent="0.2">
      <c r="A16" s="4">
        <v>1</v>
      </c>
      <c r="B16" s="62">
        <v>46185</v>
      </c>
      <c r="C16" s="9">
        <f>$E$5*(1+'Nestlé India Limited'!B52/100)</f>
        <v>2058.424532482255</v>
      </c>
      <c r="D16" s="9">
        <f>$E$6*(1+'Pidilite Industries Limited'!B52/100)</f>
        <v>3071</v>
      </c>
      <c r="E16" s="9">
        <f>$E$7*(1+'Divi''s Laboratories Limited'!B52/100)</f>
        <v>6638</v>
      </c>
      <c r="F16" s="9">
        <f>$E$8*(1+'Bosch Limited'!B52/100)</f>
        <v>39062.217307213265</v>
      </c>
      <c r="G16" s="9">
        <f>$E$9*(1+'UltraTech Cement Limited'!B52/100)</f>
        <v>11117</v>
      </c>
      <c r="I16" s="10">
        <f>LN(C16/C17)</f>
        <v>-3.2816785263726361E-2</v>
      </c>
      <c r="J16" s="10">
        <f t="shared" ref="J16:J79" si="0">LN(D16/D17)</f>
        <v>2.4191272961344896E-2</v>
      </c>
      <c r="K16" s="10">
        <f t="shared" ref="K16:K79" si="1">LN(E16/E17)</f>
        <v>-2.6328672071539707E-3</v>
      </c>
      <c r="L16" s="10">
        <f t="shared" ref="L16:L79" si="2">LN(F16/F17)</f>
        <v>3.9403655622584549E-2</v>
      </c>
      <c r="M16" s="10">
        <f t="shared" ref="M16:M79" si="3">LN(G16/G17)</f>
        <v>2.6155407238578725E-2</v>
      </c>
      <c r="N16" s="10">
        <f>$D$5*I16+$D$6*J16+$D$7*K16+$D$8*L16+$D$9*M16</f>
        <v>1.0860136670325569E-2</v>
      </c>
      <c r="P16" s="28">
        <f>$C$10*N16</f>
        <v>5430.068335162784</v>
      </c>
    </row>
    <row r="17" spans="1:22" ht="15" x14ac:dyDescent="0.2">
      <c r="A17" s="4">
        <v>2</v>
      </c>
      <c r="B17" s="62">
        <v>46184</v>
      </c>
      <c r="C17" s="9">
        <f>$E$5*(1+'Nestlé India Limited'!B53/100)</f>
        <v>2127.0960344926016</v>
      </c>
      <c r="D17" s="9">
        <f>$E$6*(1+'Pidilite Industries Limited'!B53/100)</f>
        <v>2997.6</v>
      </c>
      <c r="E17" s="9">
        <f>$E$7*(1+'Divi''s Laboratories Limited'!B53/100)</f>
        <v>6655.5</v>
      </c>
      <c r="F17" s="9">
        <f>$E$8*(1+'Bosch Limited'!B53/100)</f>
        <v>37552.953675335455</v>
      </c>
      <c r="G17" s="9">
        <f>$E$9*(1+'UltraTech Cement Limited'!B53/100)</f>
        <v>10830</v>
      </c>
      <c r="I17" s="10">
        <f t="shared" ref="I17:I80" si="4">LN(C17/C18)</f>
        <v>-1.143429070542481E-2</v>
      </c>
      <c r="J17" s="10">
        <f t="shared" si="0"/>
        <v>-5.1242916508236333E-3</v>
      </c>
      <c r="K17" s="10">
        <f t="shared" si="1"/>
        <v>2.5575461511171929E-3</v>
      </c>
      <c r="L17" s="10">
        <f t="shared" si="2"/>
        <v>-6.3322606211106795E-3</v>
      </c>
      <c r="M17" s="10">
        <f t="shared" si="3"/>
        <v>-3.3185871164320984E-3</v>
      </c>
      <c r="N17" s="10">
        <f t="shared" ref="N17:N80" si="5">$D$5*I17+$D$6*J17+$D$7*K17+$D$8*L17+$D$9*M17</f>
        <v>-4.7303767885348048E-3</v>
      </c>
      <c r="P17" s="28">
        <f t="shared" ref="P17:P80" si="6">$C$10*N17</f>
        <v>-2365.1883942674026</v>
      </c>
    </row>
    <row r="18" spans="1:22" ht="15" x14ac:dyDescent="0.2">
      <c r="A18" s="4">
        <v>3</v>
      </c>
      <c r="B18" s="62">
        <v>46183</v>
      </c>
      <c r="C18" s="9">
        <f>$E$5*(1+'Nestlé India Limited'!B54/100)</f>
        <v>2151.557451875372</v>
      </c>
      <c r="D18" s="9">
        <f>$E$6*(1+'Pidilite Industries Limited'!B54/100)</f>
        <v>3013</v>
      </c>
      <c r="E18" s="9">
        <f>$E$7*(1+'Divi''s Laboratories Limited'!B54/100)</f>
        <v>6638.5</v>
      </c>
      <c r="F18" s="9">
        <f>$E$8*(1+'Bosch Limited'!B54/100)</f>
        <v>37791.503247026267</v>
      </c>
      <c r="G18" s="9">
        <f>$E$9*(1+'UltraTech Cement Limited'!B54/100)</f>
        <v>10866</v>
      </c>
      <c r="I18" s="10">
        <f t="shared" si="4"/>
        <v>1.9449445808673201E-2</v>
      </c>
      <c r="J18" s="10">
        <f t="shared" si="0"/>
        <v>1.6531514587799424E-2</v>
      </c>
      <c r="K18" s="10">
        <f t="shared" si="1"/>
        <v>-1.7100816238885208E-2</v>
      </c>
      <c r="L18" s="10">
        <f t="shared" si="2"/>
        <v>-8.0293505500695283E-4</v>
      </c>
      <c r="M18" s="10">
        <f t="shared" si="3"/>
        <v>-4.1328065436303345E-3</v>
      </c>
      <c r="N18" s="10">
        <f t="shared" si="5"/>
        <v>2.7888805117900254E-3</v>
      </c>
      <c r="P18" s="28">
        <f t="shared" si="6"/>
        <v>1394.4402558950128</v>
      </c>
    </row>
    <row r="19" spans="1:22" ht="15" x14ac:dyDescent="0.2">
      <c r="A19" s="4">
        <v>4</v>
      </c>
      <c r="B19" s="62">
        <v>46182</v>
      </c>
      <c r="C19" s="9">
        <f>$E$5*(1+'Nestlé India Limited'!B55/100)</f>
        <v>2110.1151728843788</v>
      </c>
      <c r="D19" s="9">
        <f>$E$6*(1+'Pidilite Industries Limited'!B55/100)</f>
        <v>2963.6</v>
      </c>
      <c r="E19" s="9">
        <f>$E$7*(1+'Divi''s Laboratories Limited'!B55/100)</f>
        <v>6753</v>
      </c>
      <c r="F19" s="9">
        <f>$E$8*(1+'Bosch Limited'!B55/100)</f>
        <v>37821.859555205796</v>
      </c>
      <c r="G19" s="9">
        <f>$E$9*(1+'UltraTech Cement Limited'!B55/100)</f>
        <v>10911</v>
      </c>
      <c r="I19" s="10">
        <f t="shared" si="4"/>
        <v>7.7940498117518298E-3</v>
      </c>
      <c r="J19" s="10">
        <f t="shared" si="0"/>
        <v>1.4958124965024602E-2</v>
      </c>
      <c r="K19" s="10">
        <f t="shared" si="1"/>
        <v>3.4959112181639697E-2</v>
      </c>
      <c r="L19" s="10">
        <f t="shared" si="2"/>
        <v>3.3895624313679047E-2</v>
      </c>
      <c r="M19" s="10">
        <f t="shared" si="3"/>
        <v>1.0688390706190943E-2</v>
      </c>
      <c r="N19" s="10">
        <f t="shared" si="5"/>
        <v>2.0459060395657227E-2</v>
      </c>
      <c r="P19" s="28">
        <f t="shared" si="6"/>
        <v>10229.530197828613</v>
      </c>
      <c r="T19" t="s">
        <v>42</v>
      </c>
    </row>
    <row r="20" spans="1:22" ht="15" x14ac:dyDescent="0.2">
      <c r="A20" s="4">
        <v>5</v>
      </c>
      <c r="B20" s="62">
        <v>46181</v>
      </c>
      <c r="C20" s="9">
        <f>$E$5*(1+'Nestlé India Limited'!B56/100)</f>
        <v>2093.7327557381195</v>
      </c>
      <c r="D20" s="9">
        <f>$E$6*(1+'Pidilite Industries Limited'!B56/100)</f>
        <v>2919.6</v>
      </c>
      <c r="E20" s="9">
        <f>$E$7*(1+'Divi''s Laboratories Limited'!B56/100)</f>
        <v>6521</v>
      </c>
      <c r="F20" s="9">
        <f>$E$8*(1+'Bosch Limited'!B56/100)</f>
        <v>36561.347615065948</v>
      </c>
      <c r="G20" s="9">
        <f>$E$9*(1+'UltraTech Cement Limited'!B56/100)</f>
        <v>10795</v>
      </c>
      <c r="I20" s="10">
        <f t="shared" si="4"/>
        <v>8.4676333864715184E-3</v>
      </c>
      <c r="J20" s="10">
        <f t="shared" si="0"/>
        <v>-1.1442707607533204E-2</v>
      </c>
      <c r="K20" s="10">
        <f t="shared" si="1"/>
        <v>-1.552070109177719E-2</v>
      </c>
      <c r="L20" s="10">
        <f t="shared" si="2"/>
        <v>-1.8665459606459503E-2</v>
      </c>
      <c r="M20" s="10">
        <f t="shared" si="3"/>
        <v>-1.0780037134335627E-2</v>
      </c>
      <c r="N20" s="10">
        <f t="shared" si="5"/>
        <v>-9.5882544107268007E-3</v>
      </c>
      <c r="P20" s="28">
        <f t="shared" si="6"/>
        <v>-4794.1272053634002</v>
      </c>
      <c r="U20" s="33" t="s">
        <v>44</v>
      </c>
      <c r="V20" s="29">
        <f>AVERAGE(N16:N261)</f>
        <v>2.9559020194086245E-4</v>
      </c>
    </row>
    <row r="21" spans="1:22" ht="15" x14ac:dyDescent="0.2">
      <c r="A21" s="4">
        <v>6</v>
      </c>
      <c r="B21" s="62">
        <v>46178</v>
      </c>
      <c r="C21" s="9">
        <f>$E$5*(1+'Nestlé India Limited'!B57/100)</f>
        <v>2076.0786441101873</v>
      </c>
      <c r="D21" s="9">
        <f>$E$6*(1+'Pidilite Industries Limited'!B57/100)</f>
        <v>2953.2</v>
      </c>
      <c r="E21" s="9">
        <f>$E$7*(1+'Divi''s Laboratories Limited'!B57/100)</f>
        <v>6623</v>
      </c>
      <c r="F21" s="9">
        <f>$E$8*(1+'Bosch Limited'!B57/100)</f>
        <v>37250.190759818419</v>
      </c>
      <c r="G21" s="9">
        <f>$E$9*(1+'UltraTech Cement Limited'!B57/100)</f>
        <v>10912</v>
      </c>
      <c r="I21" s="10">
        <f t="shared" si="4"/>
        <v>4.6951834302950074E-3</v>
      </c>
      <c r="J21" s="10">
        <f t="shared" si="0"/>
        <v>3.7317273688991215E-3</v>
      </c>
      <c r="K21" s="10">
        <f t="shared" si="1"/>
        <v>4.0092341611481872E-3</v>
      </c>
      <c r="L21" s="10">
        <f t="shared" si="2"/>
        <v>6.2746032739115845E-3</v>
      </c>
      <c r="M21" s="10">
        <f t="shared" si="3"/>
        <v>-7.7594072276911596E-3</v>
      </c>
      <c r="N21" s="10">
        <f t="shared" si="5"/>
        <v>2.1902682013125482E-3</v>
      </c>
      <c r="P21" s="28">
        <f t="shared" si="6"/>
        <v>1095.1341006562741</v>
      </c>
      <c r="U21" s="16" t="s">
        <v>43</v>
      </c>
      <c r="V21" s="30">
        <f>_xlfn.NORM.S.INV(0.95)</f>
        <v>1.6448536269514715</v>
      </c>
    </row>
    <row r="22" spans="1:22" ht="15" x14ac:dyDescent="0.2">
      <c r="A22" s="4">
        <v>7</v>
      </c>
      <c r="B22" s="62">
        <v>46177</v>
      </c>
      <c r="C22" s="9">
        <f>$E$5*(1+'Nestlé India Limited'!B58/100)</f>
        <v>2066.3539216032755</v>
      </c>
      <c r="D22" s="9">
        <f>$E$6*(1+'Pidilite Industries Limited'!B58/100)</f>
        <v>2942.2</v>
      </c>
      <c r="E22" s="9">
        <f>$E$7*(1+'Divi''s Laboratories Limited'!B58/100)</f>
        <v>6596.5</v>
      </c>
      <c r="F22" s="9">
        <f>$E$8*(1+'Bosch Limited'!B58/100)</f>
        <v>37017.192341682676</v>
      </c>
      <c r="G22" s="9">
        <f>$E$9*(1+'UltraTech Cement Limited'!B58/100)</f>
        <v>10997</v>
      </c>
      <c r="I22" s="10">
        <f t="shared" si="4"/>
        <v>-8.2560180533038791E-3</v>
      </c>
      <c r="J22" s="10">
        <f t="shared" si="0"/>
        <v>1.2923853106537424E-3</v>
      </c>
      <c r="K22" s="10">
        <f t="shared" si="1"/>
        <v>3.0365164149978919E-3</v>
      </c>
      <c r="L22" s="10">
        <f t="shared" si="2"/>
        <v>-1.9141741282113166E-2</v>
      </c>
      <c r="M22" s="10">
        <f t="shared" si="3"/>
        <v>-9.4126860217126941E-3</v>
      </c>
      <c r="N22" s="10">
        <f t="shared" si="5"/>
        <v>-6.496308726295621E-3</v>
      </c>
      <c r="P22" s="28">
        <f t="shared" si="6"/>
        <v>-3248.1543631478103</v>
      </c>
      <c r="U22" s="16" t="s">
        <v>41</v>
      </c>
      <c r="V22" s="31">
        <f>U10</f>
        <v>9.9236269168209018E-3</v>
      </c>
    </row>
    <row r="23" spans="1:22" ht="15" x14ac:dyDescent="0.2">
      <c r="A23" s="4">
        <v>8</v>
      </c>
      <c r="B23" s="62">
        <v>46176</v>
      </c>
      <c r="C23" s="9">
        <f>$E$5*(1+'Nestlé India Limited'!B59/100)</f>
        <v>2083.4843943269889</v>
      </c>
      <c r="D23" s="9">
        <f>$E$6*(1+'Pidilite Industries Limited'!B59/100)</f>
        <v>2938.4</v>
      </c>
      <c r="E23" s="9">
        <f>$E$7*(1+'Divi''s Laboratories Limited'!B59/100)</f>
        <v>6576.5</v>
      </c>
      <c r="F23" s="9">
        <f>$E$8*(1+'Bosch Limited'!B59/100)</f>
        <v>37732.59100479319</v>
      </c>
      <c r="G23" s="9">
        <f>$E$9*(1+'UltraTech Cement Limited'!B59/100)</f>
        <v>11101</v>
      </c>
      <c r="I23" s="10">
        <f t="shared" si="4"/>
        <v>-4.3349821580531403E-3</v>
      </c>
      <c r="J23" s="10">
        <f t="shared" si="0"/>
        <v>9.9870862250721216E-3</v>
      </c>
      <c r="K23" s="10">
        <f t="shared" si="1"/>
        <v>6.636433068083071E-3</v>
      </c>
      <c r="L23" s="10">
        <f t="shared" si="2"/>
        <v>1.3190745876173344E-2</v>
      </c>
      <c r="M23" s="10">
        <f t="shared" si="3"/>
        <v>-5.7486909416111266E-3</v>
      </c>
      <c r="N23" s="10">
        <f t="shared" si="5"/>
        <v>3.9461184139328552E-3</v>
      </c>
      <c r="P23" s="28">
        <f t="shared" si="6"/>
        <v>1973.0592069664276</v>
      </c>
      <c r="U23" s="34" t="s">
        <v>45</v>
      </c>
      <c r="V23" s="32">
        <f>C10</f>
        <v>500000</v>
      </c>
    </row>
    <row r="24" spans="1:22" ht="15" x14ac:dyDescent="0.2">
      <c r="A24" s="4">
        <v>9</v>
      </c>
      <c r="B24" s="62">
        <v>46175</v>
      </c>
      <c r="C24" s="9">
        <f>$E$5*(1+'Nestlé India Limited'!B60/100)</f>
        <v>2092.5358668141921</v>
      </c>
      <c r="D24" s="9">
        <f>$E$6*(1+'Pidilite Industries Limited'!B60/100)</f>
        <v>2909.2</v>
      </c>
      <c r="E24" s="9">
        <f>$E$7*(1+'Divi''s Laboratories Limited'!B60/100)</f>
        <v>6533</v>
      </c>
      <c r="F24" s="9">
        <f>$E$8*(1+'Bosch Limited'!B60/100)</f>
        <v>37238.138255252918</v>
      </c>
      <c r="G24" s="9">
        <f>$E$9*(1+'UltraTech Cement Limited'!B60/100)</f>
        <v>11165</v>
      </c>
      <c r="I24" s="10">
        <f t="shared" si="4"/>
        <v>5.412684600974698E-3</v>
      </c>
      <c r="J24" s="10">
        <f t="shared" si="0"/>
        <v>-1.7858374139685146E-3</v>
      </c>
      <c r="K24" s="10">
        <f t="shared" si="1"/>
        <v>-3.1330022188499054E-3</v>
      </c>
      <c r="L24" s="10">
        <f t="shared" si="2"/>
        <v>1.5536229916199816E-2</v>
      </c>
      <c r="M24" s="10">
        <f t="shared" si="3"/>
        <v>-5.9829619913341226E-3</v>
      </c>
      <c r="N24" s="10">
        <f t="shared" si="5"/>
        <v>2.0094225786043939E-3</v>
      </c>
      <c r="P24" s="28">
        <f t="shared" si="6"/>
        <v>1004.711289302197</v>
      </c>
    </row>
    <row r="25" spans="1:22" ht="15" x14ac:dyDescent="0.2">
      <c r="A25" s="4">
        <v>10</v>
      </c>
      <c r="B25" s="62">
        <v>46174</v>
      </c>
      <c r="C25" s="9">
        <f>$E$5*(1+'Nestlé India Limited'!B61/100)</f>
        <v>2081.2402275946247</v>
      </c>
      <c r="D25" s="9">
        <f>$E$6*(1+'Pidilite Industries Limited'!B61/100)</f>
        <v>2914.4</v>
      </c>
      <c r="E25" s="9">
        <f>$E$7*(1+'Divi''s Laboratories Limited'!B61/100)</f>
        <v>6553.5</v>
      </c>
      <c r="F25" s="9">
        <f>$E$8*(1+'Bosch Limited'!B61/100)</f>
        <v>36664.06896103092</v>
      </c>
      <c r="G25" s="9">
        <f>$E$9*(1+'UltraTech Cement Limited'!B61/100)</f>
        <v>11232</v>
      </c>
      <c r="I25" s="10">
        <f t="shared" si="4"/>
        <v>-2.2567101364883862E-2</v>
      </c>
      <c r="J25" s="10">
        <f t="shared" si="0"/>
        <v>-1.74154061421684E-2</v>
      </c>
      <c r="K25" s="10">
        <f t="shared" si="1"/>
        <v>-1.7170725558459811E-2</v>
      </c>
      <c r="L25" s="10">
        <f t="shared" si="2"/>
        <v>-3.7912469019512116E-4</v>
      </c>
      <c r="M25" s="10">
        <f t="shared" si="3"/>
        <v>-2.2013744461989639E-2</v>
      </c>
      <c r="N25" s="10">
        <f t="shared" si="5"/>
        <v>-1.5909220443539367E-2</v>
      </c>
      <c r="P25" s="28">
        <f t="shared" si="6"/>
        <v>-7954.6102217696834</v>
      </c>
      <c r="U25" s="7" t="s">
        <v>50</v>
      </c>
      <c r="V25" s="21">
        <f>(V20-V21*V22)*V23</f>
        <v>-8013.6617623526236</v>
      </c>
    </row>
    <row r="26" spans="1:22" ht="15" x14ac:dyDescent="0.2">
      <c r="A26" s="4">
        <v>11</v>
      </c>
      <c r="B26" s="62">
        <v>46171</v>
      </c>
      <c r="C26" s="9">
        <f>$E$5*(1+'Nestlé India Limited'!B62/100)</f>
        <v>2128.7417567630018</v>
      </c>
      <c r="D26" s="9">
        <f>$E$6*(1+'Pidilite Industries Limited'!B62/100)</f>
        <v>2965.6</v>
      </c>
      <c r="E26" s="9">
        <f>$E$7*(1+'Divi''s Laboratories Limited'!B62/100)</f>
        <v>6667</v>
      </c>
      <c r="F26" s="9">
        <f>$E$8*(1+'Bosch Limited'!B62/100)</f>
        <v>36677.971850114795</v>
      </c>
      <c r="G26" s="9">
        <f>$E$9*(1+'UltraTech Cement Limited'!B62/100)</f>
        <v>11481.999999999998</v>
      </c>
      <c r="I26" s="10">
        <f t="shared" si="4"/>
        <v>-3.1927051065584072E-3</v>
      </c>
      <c r="J26" s="10">
        <f t="shared" si="0"/>
        <v>1.4172433619040296E-3</v>
      </c>
      <c r="K26" s="10">
        <f t="shared" si="1"/>
        <v>-1.9384913888565725E-2</v>
      </c>
      <c r="L26" s="10">
        <f t="shared" si="2"/>
        <v>1.7749833054157924E-2</v>
      </c>
      <c r="M26" s="10">
        <f t="shared" si="3"/>
        <v>-1.7867636880188338E-2</v>
      </c>
      <c r="N26" s="10">
        <f t="shared" si="5"/>
        <v>-4.2556358918501031E-3</v>
      </c>
      <c r="P26" s="28">
        <f t="shared" si="6"/>
        <v>-2127.8179459250514</v>
      </c>
      <c r="U26" s="7" t="s">
        <v>49</v>
      </c>
      <c r="V26" s="22">
        <f>(V20-V21*V22)</f>
        <v>-1.6027323524705248E-2</v>
      </c>
    </row>
    <row r="27" spans="1:22" ht="15" x14ac:dyDescent="0.2">
      <c r="A27" s="4">
        <v>12</v>
      </c>
      <c r="B27" s="62">
        <v>46169</v>
      </c>
      <c r="C27" s="9">
        <f>$E$5*(1+'Nestlé India Limited'!B64/100)</f>
        <v>2135.5490625178404</v>
      </c>
      <c r="D27" s="9">
        <f>$E$6*(1+'Pidilite Industries Limited'!B64/100)</f>
        <v>2961.4</v>
      </c>
      <c r="E27" s="9">
        <f>$E$7*(1+'Divi''s Laboratories Limited'!B64/100)</f>
        <v>6797.5</v>
      </c>
      <c r="F27" s="9">
        <f>$E$8*(1+'Bosch Limited'!B64/100)</f>
        <v>36032.687757132269</v>
      </c>
      <c r="G27" s="9">
        <f>$E$9*(1+'UltraTech Cement Limited'!B64/100)</f>
        <v>11689</v>
      </c>
      <c r="I27" s="10">
        <f t="shared" si="4"/>
        <v>-1.0503099379574206E-3</v>
      </c>
      <c r="J27" s="10">
        <f t="shared" si="0"/>
        <v>1.4868886221413404E-3</v>
      </c>
      <c r="K27" s="10">
        <f t="shared" si="1"/>
        <v>6.568046931783744E-3</v>
      </c>
      <c r="L27" s="10">
        <f t="shared" si="2"/>
        <v>4.8667583589303044E-3</v>
      </c>
      <c r="M27" s="10">
        <f t="shared" si="3"/>
        <v>5.6623349640622283E-3</v>
      </c>
      <c r="N27" s="10">
        <f t="shared" si="5"/>
        <v>3.5067437877920396E-3</v>
      </c>
      <c r="P27" s="28">
        <f t="shared" si="6"/>
        <v>1753.3718938960199</v>
      </c>
    </row>
    <row r="28" spans="1:22" ht="15" x14ac:dyDescent="0.2">
      <c r="A28" s="4">
        <v>13</v>
      </c>
      <c r="B28" s="62">
        <v>46168</v>
      </c>
      <c r="C28" s="9">
        <f>$E$5*(1+'Nestlé India Limited'!B65/100)</f>
        <v>2137.7932292502046</v>
      </c>
      <c r="D28" s="9">
        <f>$E$6*(1+'Pidilite Industries Limited'!B65/100)</f>
        <v>2957</v>
      </c>
      <c r="E28" s="9">
        <f>$E$7*(1+'Divi''s Laboratories Limited'!B65/100)</f>
        <v>6753</v>
      </c>
      <c r="F28" s="9">
        <f>$E$8*(1+'Bosch Limited'!B65/100)</f>
        <v>35857.751404559007</v>
      </c>
      <c r="G28" s="9">
        <f>$E$9*(1+'UltraTech Cement Limited'!B65/100)</f>
        <v>11623</v>
      </c>
      <c r="I28" s="10">
        <f t="shared" si="4"/>
        <v>1.0623802738070768E-2</v>
      </c>
      <c r="J28" s="10">
        <f t="shared" si="0"/>
        <v>8.7965631412377098E-4</v>
      </c>
      <c r="K28" s="10">
        <f t="shared" si="1"/>
        <v>-5.1815390329897895E-4</v>
      </c>
      <c r="L28" s="10">
        <f t="shared" si="2"/>
        <v>-1.3064800180267932E-2</v>
      </c>
      <c r="M28" s="10">
        <f t="shared" si="3"/>
        <v>-8.8227048804526038E-3</v>
      </c>
      <c r="N28" s="10">
        <f t="shared" si="5"/>
        <v>-2.1804399823649959E-3</v>
      </c>
      <c r="P28" s="28">
        <f t="shared" si="6"/>
        <v>-1090.219991182498</v>
      </c>
    </row>
    <row r="29" spans="1:22" ht="15" x14ac:dyDescent="0.2">
      <c r="A29" s="4">
        <v>14</v>
      </c>
      <c r="B29" s="62">
        <v>46167</v>
      </c>
      <c r="C29" s="9">
        <f>$E$5*(1+'Nestlé India Limited'!B66/100)</f>
        <v>2115.2019508110707</v>
      </c>
      <c r="D29" s="9">
        <f>$E$6*(1+'Pidilite Industries Limited'!B66/100)</f>
        <v>2954.4</v>
      </c>
      <c r="E29" s="9">
        <f>$E$7*(1+'Divi''s Laboratories Limited'!B66/100)</f>
        <v>6756.5000000000009</v>
      </c>
      <c r="F29" s="9">
        <f>$E$8*(1+'Bosch Limited'!B66/100)</f>
        <v>36329.299394385569</v>
      </c>
      <c r="G29" s="9">
        <f>$E$9*(1+'UltraTech Cement Limited'!B66/100)</f>
        <v>11726.000000000002</v>
      </c>
      <c r="I29" s="10">
        <f t="shared" si="4"/>
        <v>-6.6618740943379315E-3</v>
      </c>
      <c r="J29" s="10">
        <f t="shared" si="0"/>
        <v>-8.1201790901158373E-4</v>
      </c>
      <c r="K29" s="10">
        <f t="shared" si="1"/>
        <v>-1.9130572066557331E-2</v>
      </c>
      <c r="L29" s="10">
        <f t="shared" si="2"/>
        <v>7.3462234707211797E-3</v>
      </c>
      <c r="M29" s="10">
        <f t="shared" si="3"/>
        <v>1.3479491495271738E-2</v>
      </c>
      <c r="N29" s="10">
        <f t="shared" si="5"/>
        <v>-1.1557498207827865E-3</v>
      </c>
      <c r="P29" s="28">
        <f t="shared" si="6"/>
        <v>-577.87491039139331</v>
      </c>
    </row>
    <row r="30" spans="1:22" ht="15" x14ac:dyDescent="0.2">
      <c r="A30" s="4">
        <v>15</v>
      </c>
      <c r="B30" s="62">
        <v>46164</v>
      </c>
      <c r="C30" s="9">
        <f>$E$5*(1+'Nestlé India Limited'!B67/100)</f>
        <v>2129.3402012249662</v>
      </c>
      <c r="D30" s="9">
        <f>$E$6*(1+'Pidilite Industries Limited'!B67/100)</f>
        <v>2956.8</v>
      </c>
      <c r="E30" s="9">
        <f>$E$7*(1+'Divi''s Laboratories Limited'!B67/100)</f>
        <v>6887</v>
      </c>
      <c r="F30" s="9">
        <f>$E$8*(1+'Bosch Limited'!B67/100)</f>
        <v>36063.394138058509</v>
      </c>
      <c r="G30" s="9">
        <f>$E$9*(1+'UltraTech Cement Limited'!B67/100)</f>
        <v>11569</v>
      </c>
      <c r="I30" s="10">
        <f t="shared" si="4"/>
        <v>1.2194195460581257E-2</v>
      </c>
      <c r="J30" s="10">
        <f t="shared" si="0"/>
        <v>3.7950709685517555E-3</v>
      </c>
      <c r="K30" s="10">
        <f t="shared" si="1"/>
        <v>4.2197225218324405E-3</v>
      </c>
      <c r="L30" s="10">
        <f t="shared" si="2"/>
        <v>2.410966022172624E-2</v>
      </c>
      <c r="M30" s="10">
        <f t="shared" si="3"/>
        <v>8.2455008670725416E-3</v>
      </c>
      <c r="N30" s="10">
        <f t="shared" si="5"/>
        <v>1.0512830007952847E-2</v>
      </c>
      <c r="P30" s="28">
        <f t="shared" si="6"/>
        <v>5256.4150039764236</v>
      </c>
    </row>
    <row r="31" spans="1:22" ht="15" x14ac:dyDescent="0.2">
      <c r="A31" s="4">
        <v>16</v>
      </c>
      <c r="B31" s="62">
        <v>46163</v>
      </c>
      <c r="C31" s="9">
        <f>$E$5*(1+'Nestlé India Limited'!B68/100)</f>
        <v>2103.5322838027769</v>
      </c>
      <c r="D31" s="9">
        <f>$E$6*(1+'Pidilite Industries Limited'!B68/100)</f>
        <v>2945.6</v>
      </c>
      <c r="E31" s="9">
        <f>$E$7*(1+'Divi''s Laboratories Limited'!B68/100)</f>
        <v>6858.0000000000009</v>
      </c>
      <c r="F31" s="9">
        <f>$E$8*(1+'Bosch Limited'!B68/100)</f>
        <v>35204.315617617234</v>
      </c>
      <c r="G31" s="9">
        <f>$E$9*(1+'UltraTech Cement Limited'!B68/100)</f>
        <v>11474</v>
      </c>
      <c r="I31" s="10">
        <f t="shared" si="4"/>
        <v>-1.0084119066626047E-2</v>
      </c>
      <c r="J31" s="10">
        <f t="shared" si="0"/>
        <v>1.1747164180863358E-2</v>
      </c>
      <c r="K31" s="10">
        <f t="shared" si="1"/>
        <v>-5.0905498627860611E-3</v>
      </c>
      <c r="L31" s="10">
        <f t="shared" si="2"/>
        <v>-4.5095261528043495E-2</v>
      </c>
      <c r="M31" s="10">
        <f t="shared" si="3"/>
        <v>5.6810885654469305E-3</v>
      </c>
      <c r="N31" s="10">
        <f t="shared" si="5"/>
        <v>-8.5683355422290636E-3</v>
      </c>
      <c r="P31" s="28">
        <f t="shared" si="6"/>
        <v>-4284.1677711145321</v>
      </c>
    </row>
    <row r="32" spans="1:22" ht="15" x14ac:dyDescent="0.2">
      <c r="A32" s="4">
        <v>17</v>
      </c>
      <c r="B32" s="62">
        <v>46162</v>
      </c>
      <c r="C32" s="9">
        <f>$E$5*(1+'Nestlé India Limited'!B69/100)</f>
        <v>2124.8518677602374</v>
      </c>
      <c r="D32" s="9">
        <f>$E$6*(1+'Pidilite Industries Limited'!B69/100)</f>
        <v>2911.2</v>
      </c>
      <c r="E32" s="9">
        <f>$E$7*(1+'Divi''s Laboratories Limited'!B69/100)</f>
        <v>6893</v>
      </c>
      <c r="F32" s="9">
        <f>$E$8*(1+'Bosch Limited'!B69/100)</f>
        <v>36828.203068848386</v>
      </c>
      <c r="G32" s="9">
        <f>$E$9*(1+'UltraTech Cement Limited'!B69/100)</f>
        <v>11409</v>
      </c>
      <c r="I32" s="10">
        <f t="shared" si="4"/>
        <v>-7.8550040941359756E-3</v>
      </c>
      <c r="J32" s="10">
        <f t="shared" si="0"/>
        <v>-1.3739094615281618E-4</v>
      </c>
      <c r="K32" s="10">
        <f t="shared" si="1"/>
        <v>-2.7526275982396992E-3</v>
      </c>
      <c r="L32" s="10">
        <f t="shared" si="2"/>
        <v>-7.6053297906467391E-3</v>
      </c>
      <c r="M32" s="10">
        <f t="shared" si="3"/>
        <v>3.6001268194330491E-3</v>
      </c>
      <c r="N32" s="10">
        <f t="shared" si="5"/>
        <v>-2.9500451219484358E-3</v>
      </c>
      <c r="P32" s="28">
        <f t="shared" si="6"/>
        <v>-1475.0225609742179</v>
      </c>
    </row>
    <row r="33" spans="1:16" ht="15" x14ac:dyDescent="0.2">
      <c r="A33" s="4">
        <v>18</v>
      </c>
      <c r="B33" s="62">
        <v>46161</v>
      </c>
      <c r="C33" s="9">
        <f>$E$5*(1+'Nestlé India Limited'!B70/100)</f>
        <v>2141.6083126952235</v>
      </c>
      <c r="D33" s="9">
        <f>$E$6*(1+'Pidilite Industries Limited'!B70/100)</f>
        <v>2911.6</v>
      </c>
      <c r="E33" s="9">
        <f>$E$7*(1+'Divi''s Laboratories Limited'!B70/100)</f>
        <v>6912</v>
      </c>
      <c r="F33" s="9">
        <f>$E$8*(1+'Bosch Limited'!B70/100)</f>
        <v>37109.36149485378</v>
      </c>
      <c r="G33" s="9">
        <f>$E$9*(1+'UltraTech Cement Limited'!B70/100)</f>
        <v>11367.999999999998</v>
      </c>
      <c r="I33" s="10">
        <f t="shared" si="4"/>
        <v>-6.6344259290541658E-4</v>
      </c>
      <c r="J33" s="10">
        <f t="shared" si="0"/>
        <v>3.8540997466651318E-3</v>
      </c>
      <c r="K33" s="10">
        <f t="shared" si="1"/>
        <v>1.1202561325841427E-2</v>
      </c>
      <c r="L33" s="10">
        <f t="shared" si="2"/>
        <v>-1.5149569518873791E-3</v>
      </c>
      <c r="M33" s="10">
        <f t="shared" si="3"/>
        <v>-1.6834973898385373E-2</v>
      </c>
      <c r="N33" s="10">
        <f t="shared" si="5"/>
        <v>-7.9134247413432165E-4</v>
      </c>
      <c r="P33" s="28">
        <f t="shared" si="6"/>
        <v>-395.6712370671608</v>
      </c>
    </row>
    <row r="34" spans="1:16" ht="15" x14ac:dyDescent="0.2">
      <c r="A34" s="4">
        <v>19</v>
      </c>
      <c r="B34" s="62">
        <v>46160</v>
      </c>
      <c r="C34" s="9">
        <f>$E$5*(1+'Nestlé India Limited'!B71/100)</f>
        <v>2143.029618292388</v>
      </c>
      <c r="D34" s="9">
        <f>$E$6*(1+'Pidilite Industries Limited'!B71/100)</f>
        <v>2900.4</v>
      </c>
      <c r="E34" s="9">
        <f>$E$7*(1+'Divi''s Laboratories Limited'!B71/100)</f>
        <v>6835.0000000000009</v>
      </c>
      <c r="F34" s="9">
        <f>$E$8*(1+'Bosch Limited'!B71/100)</f>
        <v>37165.623186290301</v>
      </c>
      <c r="G34" s="9">
        <f>$E$9*(1+'UltraTech Cement Limited'!B71/100)</f>
        <v>11561.000000000002</v>
      </c>
      <c r="I34" s="10">
        <f t="shared" si="4"/>
        <v>1.467146663423458E-3</v>
      </c>
      <c r="J34" s="10">
        <f t="shared" si="0"/>
        <v>-1.1995071679660742E-2</v>
      </c>
      <c r="K34" s="10">
        <f t="shared" si="1"/>
        <v>1.0959618359237531E-2</v>
      </c>
      <c r="L34" s="10">
        <f t="shared" si="2"/>
        <v>-1.4433295336114061E-2</v>
      </c>
      <c r="M34" s="10">
        <f t="shared" si="3"/>
        <v>6.4214035299177217E-3</v>
      </c>
      <c r="N34" s="10">
        <f t="shared" si="5"/>
        <v>-1.5160396926392186E-3</v>
      </c>
      <c r="P34" s="28">
        <f t="shared" si="6"/>
        <v>-758.01984631960931</v>
      </c>
    </row>
    <row r="35" spans="1:16" ht="15" x14ac:dyDescent="0.2">
      <c r="A35" s="4">
        <v>20</v>
      </c>
      <c r="B35" s="62">
        <v>46157</v>
      </c>
      <c r="C35" s="9">
        <f>$E$5*(1+'Nestlé India Limited'!B72/100)</f>
        <v>2139.8877848670777</v>
      </c>
      <c r="D35" s="9">
        <f>$E$6*(1+'Pidilite Industries Limited'!B72/100)</f>
        <v>2935.4</v>
      </c>
      <c r="E35" s="9">
        <f>$E$7*(1+'Divi''s Laboratories Limited'!B72/100)</f>
        <v>6760.4999999999991</v>
      </c>
      <c r="F35" s="9">
        <f>$E$8*(1+'Bosch Limited'!B72/100)</f>
        <v>37705.935465650378</v>
      </c>
      <c r="G35" s="9">
        <f>$E$9*(1+'UltraTech Cement Limited'!B72/100)</f>
        <v>11487</v>
      </c>
      <c r="I35" s="10">
        <f t="shared" si="4"/>
        <v>-2.0312468475253389E-2</v>
      </c>
      <c r="J35" s="10">
        <f t="shared" si="0"/>
        <v>-1.0909815138272359E-2</v>
      </c>
      <c r="K35" s="10">
        <f t="shared" si="1"/>
        <v>-2.3535657328977139E-2</v>
      </c>
      <c r="L35" s="10">
        <f t="shared" si="2"/>
        <v>1.9770742908436389E-2</v>
      </c>
      <c r="M35" s="10">
        <f t="shared" si="3"/>
        <v>-1.7688886085732363E-2</v>
      </c>
      <c r="N35" s="10">
        <f t="shared" si="5"/>
        <v>-1.0535216823959772E-2</v>
      </c>
      <c r="P35" s="28">
        <f t="shared" si="6"/>
        <v>-5267.6084119798861</v>
      </c>
    </row>
    <row r="36" spans="1:16" ht="15" x14ac:dyDescent="0.2">
      <c r="A36" s="4">
        <v>21</v>
      </c>
      <c r="B36" s="62">
        <v>46156</v>
      </c>
      <c r="C36" s="9">
        <f>$E$5*(1+'Nestlé India Limited'!B73/100)</f>
        <v>2183.7986472636721</v>
      </c>
      <c r="D36" s="9">
        <f>$E$6*(1+'Pidilite Industries Limited'!B73/100)</f>
        <v>2967.6</v>
      </c>
      <c r="E36" s="9">
        <f>$E$7*(1+'Divi''s Laboratories Limited'!B73/100)</f>
        <v>6921.5</v>
      </c>
      <c r="F36" s="9">
        <f>$E$8*(1+'Bosch Limited'!B73/100)</f>
        <v>36967.78207400332</v>
      </c>
      <c r="G36" s="9">
        <f>$E$9*(1+'UltraTech Cement Limited'!B73/100)</f>
        <v>11692</v>
      </c>
      <c r="I36" s="10">
        <f t="shared" si="4"/>
        <v>-6.0788384715902023E-3</v>
      </c>
      <c r="J36" s="10">
        <f t="shared" si="0"/>
        <v>2.6081904477406891E-2</v>
      </c>
      <c r="K36" s="10">
        <f t="shared" si="1"/>
        <v>1.8298305335966984E-2</v>
      </c>
      <c r="L36" s="10">
        <f t="shared" si="2"/>
        <v>1.7506192256561241E-2</v>
      </c>
      <c r="M36" s="10">
        <f t="shared" si="3"/>
        <v>1.0230048383058727E-2</v>
      </c>
      <c r="N36" s="10">
        <f t="shared" si="5"/>
        <v>1.3207522396280728E-2</v>
      </c>
      <c r="P36" s="28">
        <f t="shared" si="6"/>
        <v>6603.7611981403643</v>
      </c>
    </row>
    <row r="37" spans="1:16" ht="15" x14ac:dyDescent="0.2">
      <c r="A37" s="4">
        <v>22</v>
      </c>
      <c r="B37" s="62">
        <v>46155</v>
      </c>
      <c r="C37" s="9">
        <f>$E$5*(1+'Nestlé India Limited'!B74/100)</f>
        <v>2197.1140365423666</v>
      </c>
      <c r="D37" s="9">
        <f>$E$6*(1+'Pidilite Industries Limited'!B74/100)</f>
        <v>2891.2</v>
      </c>
      <c r="E37" s="9">
        <f>$E$7*(1+'Divi''s Laboratories Limited'!B74/100)</f>
        <v>6796.0000000000009</v>
      </c>
      <c r="F37" s="9">
        <f>$E$8*(1+'Bosch Limited'!B74/100)</f>
        <v>36326.248760449897</v>
      </c>
      <c r="G37" s="9">
        <f>$E$9*(1+'UltraTech Cement Limited'!B74/100)</f>
        <v>11573</v>
      </c>
      <c r="I37" s="10">
        <f t="shared" si="4"/>
        <v>-3.4046609812179329E-5</v>
      </c>
      <c r="J37" s="10">
        <f t="shared" si="0"/>
        <v>-5.1059242922642106E-3</v>
      </c>
      <c r="K37" s="10">
        <f t="shared" si="1"/>
        <v>2.2620012058637284E-2</v>
      </c>
      <c r="L37" s="10">
        <f t="shared" si="2"/>
        <v>-4.6753446077389231E-3</v>
      </c>
      <c r="M37" s="10">
        <f t="shared" si="3"/>
        <v>4.9374261160113437E-3</v>
      </c>
      <c r="N37" s="10">
        <f t="shared" si="5"/>
        <v>3.5484245329666627E-3</v>
      </c>
      <c r="P37" s="28">
        <f t="shared" si="6"/>
        <v>1774.2122664833314</v>
      </c>
    </row>
    <row r="38" spans="1:16" ht="15" x14ac:dyDescent="0.2">
      <c r="A38" s="4">
        <v>23</v>
      </c>
      <c r="B38" s="62">
        <v>46154</v>
      </c>
      <c r="C38" s="9">
        <f>$E$5*(1+'Nestlé India Limited'!B75/100)</f>
        <v>2197.1888421001122</v>
      </c>
      <c r="D38" s="9">
        <f>$E$6*(1+'Pidilite Industries Limited'!B75/100)</f>
        <v>2906</v>
      </c>
      <c r="E38" s="9">
        <f>$E$7*(1+'Divi''s Laboratories Limited'!B75/100)</f>
        <v>6644</v>
      </c>
      <c r="F38" s="9">
        <f>$E$8*(1+'Bosch Limited'!B75/100)</f>
        <v>36496.484136138693</v>
      </c>
      <c r="G38" s="9">
        <f>$E$9*(1+'UltraTech Cement Limited'!B75/100)</f>
        <v>11516</v>
      </c>
      <c r="I38" s="10">
        <f t="shared" si="4"/>
        <v>-8.205382897163117E-3</v>
      </c>
      <c r="J38" s="10">
        <f t="shared" si="0"/>
        <v>1.093360833091923E-2</v>
      </c>
      <c r="K38" s="10">
        <f t="shared" si="1"/>
        <v>-1.04807068067947E-2</v>
      </c>
      <c r="L38" s="10">
        <f t="shared" si="2"/>
        <v>-2.162858995083726E-2</v>
      </c>
      <c r="M38" s="10">
        <f t="shared" si="3"/>
        <v>-2.993979508652209E-2</v>
      </c>
      <c r="N38" s="10">
        <f t="shared" si="5"/>
        <v>-1.1864173282079588E-2</v>
      </c>
      <c r="P38" s="28">
        <f t="shared" si="6"/>
        <v>-5932.0866410397939</v>
      </c>
    </row>
    <row r="39" spans="1:16" ht="15" x14ac:dyDescent="0.2">
      <c r="A39" s="4">
        <v>24</v>
      </c>
      <c r="B39" s="62">
        <v>46153</v>
      </c>
      <c r="C39" s="9">
        <f>$E$5*(1+'Nestlé India Limited'!B76/100)</f>
        <v>2215.2917870745173</v>
      </c>
      <c r="D39" s="9">
        <f>$E$6*(1+'Pidilite Industries Limited'!B76/100)</f>
        <v>2874.4</v>
      </c>
      <c r="E39" s="9">
        <f>$E$7*(1+'Divi''s Laboratories Limited'!B76/100)</f>
        <v>6714</v>
      </c>
      <c r="F39" s="9">
        <f>$E$8*(1+'Bosch Limited'!B76/100)</f>
        <v>37294.449957081815</v>
      </c>
      <c r="G39" s="9">
        <f>$E$9*(1+'UltraTech Cement Limited'!B76/100)</f>
        <v>11866</v>
      </c>
      <c r="I39" s="10">
        <f t="shared" si="4"/>
        <v>-1.0125216025852221E-3</v>
      </c>
      <c r="J39" s="10">
        <f t="shared" si="0"/>
        <v>-2.6638949921054138E-2</v>
      </c>
      <c r="K39" s="10">
        <f t="shared" si="1"/>
        <v>5.2143470211955746E-4</v>
      </c>
      <c r="L39" s="10">
        <f t="shared" si="2"/>
        <v>-2.258626489861652E-2</v>
      </c>
      <c r="M39" s="10">
        <f t="shared" si="3"/>
        <v>-7.0541105410681509E-3</v>
      </c>
      <c r="N39" s="10">
        <f t="shared" si="5"/>
        <v>-1.1354082452240894E-2</v>
      </c>
      <c r="P39" s="28">
        <f t="shared" si="6"/>
        <v>-5677.0412261204465</v>
      </c>
    </row>
    <row r="40" spans="1:16" ht="15" x14ac:dyDescent="0.2">
      <c r="A40" s="4">
        <v>25</v>
      </c>
      <c r="B40" s="62">
        <v>46150</v>
      </c>
      <c r="C40" s="9">
        <f>$E$5*(1+'Nestlé India Limited'!B77/100)</f>
        <v>2217.5359538068815</v>
      </c>
      <c r="D40" s="9">
        <f>$E$6*(1+'Pidilite Industries Limited'!B77/100)</f>
        <v>2952</v>
      </c>
      <c r="E40" s="9">
        <f>$E$7*(1+'Divi''s Laboratories Limited'!B77/100)</f>
        <v>6710.5</v>
      </c>
      <c r="F40" s="9">
        <f>$E$8*(1+'Bosch Limited'!B77/100)</f>
        <v>38146.376991411598</v>
      </c>
      <c r="G40" s="9">
        <f>$E$9*(1+'UltraTech Cement Limited'!B77/100)</f>
        <v>11950</v>
      </c>
      <c r="I40" s="10">
        <f t="shared" si="4"/>
        <v>4.1578695918436798E-3</v>
      </c>
      <c r="J40" s="10">
        <f t="shared" si="0"/>
        <v>1.7496345719776377E-2</v>
      </c>
      <c r="K40" s="10">
        <f t="shared" si="1"/>
        <v>1.1928727277462088E-3</v>
      </c>
      <c r="L40" s="10">
        <f t="shared" si="2"/>
        <v>6.5964384422921461E-3</v>
      </c>
      <c r="M40" s="10">
        <f t="shared" si="3"/>
        <v>-1.626861909786409E-2</v>
      </c>
      <c r="N40" s="10">
        <f t="shared" si="5"/>
        <v>2.6349814767588644E-3</v>
      </c>
      <c r="P40" s="28">
        <f t="shared" si="6"/>
        <v>1317.4907383794323</v>
      </c>
    </row>
    <row r="41" spans="1:16" ht="15" x14ac:dyDescent="0.2">
      <c r="A41" s="4">
        <v>26</v>
      </c>
      <c r="B41" s="62">
        <v>46149</v>
      </c>
      <c r="C41" s="9">
        <f>$E$5*(1+'Nestlé India Limited'!B78/100)</f>
        <v>2208.3348702041881</v>
      </c>
      <c r="D41" s="9">
        <f>$E$6*(1+'Pidilite Industries Limited'!B78/100)</f>
        <v>2900.8</v>
      </c>
      <c r="E41" s="9">
        <f>$E$7*(1+'Divi''s Laboratories Limited'!B78/100)</f>
        <v>6702.5</v>
      </c>
      <c r="F41" s="9">
        <f>$E$8*(1+'Bosch Limited'!B78/100)</f>
        <v>37895.57487358572</v>
      </c>
      <c r="G41" s="9">
        <f>$E$9*(1+'UltraTech Cement Limited'!B78/100)</f>
        <v>12146.000000000002</v>
      </c>
      <c r="I41" s="10">
        <f t="shared" si="4"/>
        <v>-6.9874881341593104E-3</v>
      </c>
      <c r="J41" s="10">
        <f t="shared" si="0"/>
        <v>2.0126728349586922E-2</v>
      </c>
      <c r="K41" s="10">
        <f t="shared" si="1"/>
        <v>7.4601812858572308E-5</v>
      </c>
      <c r="L41" s="10">
        <f t="shared" si="2"/>
        <v>3.2696173243154714E-2</v>
      </c>
      <c r="M41" s="10">
        <f t="shared" si="3"/>
        <v>4.3731246722453635E-3</v>
      </c>
      <c r="N41" s="10">
        <f t="shared" si="5"/>
        <v>1.0056627988737252E-2</v>
      </c>
      <c r="P41" s="28">
        <f t="shared" si="6"/>
        <v>5028.3139943686265</v>
      </c>
    </row>
    <row r="42" spans="1:16" ht="15" x14ac:dyDescent="0.2">
      <c r="A42" s="4">
        <v>27</v>
      </c>
      <c r="B42" s="62">
        <v>46148</v>
      </c>
      <c r="C42" s="9">
        <f>$E$5*(1+'Nestlé India Limited'!B79/100)</f>
        <v>2223.8196206575017</v>
      </c>
      <c r="D42" s="9">
        <f>$E$6*(1+'Pidilite Industries Limited'!B79/100)</f>
        <v>2843</v>
      </c>
      <c r="E42" s="9">
        <f>$E$7*(1+'Divi''s Laboratories Limited'!B79/100)</f>
        <v>6702</v>
      </c>
      <c r="F42" s="9">
        <f>$E$8*(1+'Bosch Limited'!B79/100)</f>
        <v>36676.571559127922</v>
      </c>
      <c r="G42" s="9">
        <f>$E$9*(1+'UltraTech Cement Limited'!B79/100)</f>
        <v>12093</v>
      </c>
      <c r="I42" s="10">
        <f t="shared" si="4"/>
        <v>6.6488035817110543E-3</v>
      </c>
      <c r="J42" s="10">
        <f t="shared" si="0"/>
        <v>4.114447587043539E-2</v>
      </c>
      <c r="K42" s="10">
        <f t="shared" si="1"/>
        <v>7.6387700128346218E-3</v>
      </c>
      <c r="L42" s="10">
        <f t="shared" si="2"/>
        <v>2.1626293886325323E-2</v>
      </c>
      <c r="M42" s="10">
        <f t="shared" si="3"/>
        <v>1.0808219614371369E-2</v>
      </c>
      <c r="N42" s="10">
        <f t="shared" si="5"/>
        <v>1.7573312593135552E-2</v>
      </c>
      <c r="P42" s="28">
        <f t="shared" si="6"/>
        <v>8786.6562965677767</v>
      </c>
    </row>
    <row r="43" spans="1:16" ht="15" x14ac:dyDescent="0.2">
      <c r="A43" s="4">
        <v>28</v>
      </c>
      <c r="B43" s="62">
        <v>46147</v>
      </c>
      <c r="C43" s="9">
        <f>$E$5*(1+'Nestlé India Limited'!B80/100)</f>
        <v>2209.0829257816426</v>
      </c>
      <c r="D43" s="9">
        <f>$E$6*(1+'Pidilite Industries Limited'!B80/100)</f>
        <v>2728.4</v>
      </c>
      <c r="E43" s="9">
        <f>$E$7*(1+'Divi''s Laboratories Limited'!B80/100)</f>
        <v>6651</v>
      </c>
      <c r="F43" s="9">
        <f>$E$8*(1+'Bosch Limited'!B80/100)</f>
        <v>35891.908502560014</v>
      </c>
      <c r="G43" s="9">
        <f>$E$9*(1+'UltraTech Cement Limited'!B80/100)</f>
        <v>11963</v>
      </c>
      <c r="I43" s="10">
        <f t="shared" si="4"/>
        <v>1.3363075961413947E-2</v>
      </c>
      <c r="J43" s="10">
        <f t="shared" si="0"/>
        <v>-2.9316916070414294E-4</v>
      </c>
      <c r="K43" s="10">
        <f t="shared" si="1"/>
        <v>4.7473809067095502E-3</v>
      </c>
      <c r="L43" s="10">
        <f t="shared" si="2"/>
        <v>1.6845984585911987E-3</v>
      </c>
      <c r="M43" s="10">
        <f t="shared" si="3"/>
        <v>1.7284693208704099E-2</v>
      </c>
      <c r="N43" s="10">
        <f t="shared" si="5"/>
        <v>7.3573158749429303E-3</v>
      </c>
      <c r="P43" s="28">
        <f t="shared" si="6"/>
        <v>3678.6579374714652</v>
      </c>
    </row>
    <row r="44" spans="1:16" ht="15" x14ac:dyDescent="0.2">
      <c r="A44" s="4">
        <v>29</v>
      </c>
      <c r="B44" s="62">
        <v>46146</v>
      </c>
      <c r="C44" s="9">
        <f>$E$5*(1+'Nestlé India Limited'!B81/100)</f>
        <v>2179.7591471454161</v>
      </c>
      <c r="D44" s="9">
        <f>$E$6*(1+'Pidilite Industries Limited'!B81/100)</f>
        <v>2729.2</v>
      </c>
      <c r="E44" s="9">
        <f>$E$7*(1+'Divi''s Laboratories Limited'!B81/100)</f>
        <v>6619.5</v>
      </c>
      <c r="F44" s="9">
        <f>$E$8*(1+'Bosch Limited'!B81/100)</f>
        <v>35831.495948555304</v>
      </c>
      <c r="G44" s="9">
        <f>$E$9*(1+'UltraTech Cement Limited'!B81/100)</f>
        <v>11757.999999999998</v>
      </c>
      <c r="I44" s="10">
        <f t="shared" si="4"/>
        <v>-5.8324043166343455E-4</v>
      </c>
      <c r="J44" s="10">
        <f t="shared" si="0"/>
        <v>-8.1013470856266985E-3</v>
      </c>
      <c r="K44" s="10">
        <f t="shared" si="1"/>
        <v>1.7833120054905036E-2</v>
      </c>
      <c r="L44" s="10">
        <f t="shared" si="2"/>
        <v>-5.1438974610824671E-3</v>
      </c>
      <c r="M44" s="10">
        <f t="shared" si="3"/>
        <v>1.47363873056307E-2</v>
      </c>
      <c r="N44" s="10">
        <f t="shared" si="5"/>
        <v>3.7482044764326275E-3</v>
      </c>
      <c r="P44" s="28">
        <f t="shared" si="6"/>
        <v>1874.1022382163137</v>
      </c>
    </row>
    <row r="45" spans="1:16" ht="15" x14ac:dyDescent="0.2">
      <c r="A45" s="4">
        <v>30</v>
      </c>
      <c r="B45" s="62">
        <v>46142</v>
      </c>
      <c r="C45" s="9">
        <f>$E$5*(1+'Nestlé India Limited'!B83/100)</f>
        <v>2181.0308416270896</v>
      </c>
      <c r="D45" s="9">
        <f>$E$6*(1+'Pidilite Industries Limited'!B83/100)</f>
        <v>2751.4</v>
      </c>
      <c r="E45" s="9">
        <f>$E$7*(1+'Divi''s Laboratories Limited'!B83/100)</f>
        <v>6502.5</v>
      </c>
      <c r="F45" s="9">
        <f>$E$8*(1+'Bosch Limited'!B83/100)</f>
        <v>36016.284348429006</v>
      </c>
      <c r="G45" s="9">
        <f>$E$9*(1+'UltraTech Cement Limited'!B83/100)</f>
        <v>11586</v>
      </c>
      <c r="I45" s="10">
        <f t="shared" si="4"/>
        <v>-5.6773639961061875E-3</v>
      </c>
      <c r="J45" s="10">
        <f t="shared" si="0"/>
        <v>-9.621371287393831E-3</v>
      </c>
      <c r="K45" s="10">
        <f t="shared" si="1"/>
        <v>-4.8325948382088287E-3</v>
      </c>
      <c r="L45" s="10">
        <f t="shared" si="2"/>
        <v>-9.4212222935647644E-3</v>
      </c>
      <c r="M45" s="10">
        <f t="shared" si="3"/>
        <v>-2.1094765727989451E-2</v>
      </c>
      <c r="N45" s="10">
        <f t="shared" si="5"/>
        <v>-1.0129463628652614E-2</v>
      </c>
      <c r="P45" s="28">
        <f t="shared" si="6"/>
        <v>-5064.7318143263074</v>
      </c>
    </row>
    <row r="46" spans="1:16" ht="15" x14ac:dyDescent="0.2">
      <c r="A46" s="4">
        <v>31</v>
      </c>
      <c r="B46" s="62">
        <v>46141</v>
      </c>
      <c r="C46" s="9">
        <f>$E$5*(1+'Nestlé India Limited'!B84/100)</f>
        <v>2193.4485642128384</v>
      </c>
      <c r="D46" s="9">
        <f>$E$6*(1+'Pidilite Industries Limited'!B84/100)</f>
        <v>2778</v>
      </c>
      <c r="E46" s="9">
        <f>$E$7*(1+'Divi''s Laboratories Limited'!B84/100)</f>
        <v>6534</v>
      </c>
      <c r="F46" s="9">
        <f>$E$8*(1+'Bosch Limited'!B84/100)</f>
        <v>36357.205193338079</v>
      </c>
      <c r="G46" s="9">
        <f>$E$9*(1+'UltraTech Cement Limited'!B84/100)</f>
        <v>11833</v>
      </c>
      <c r="I46" s="10">
        <f t="shared" si="4"/>
        <v>1.8032147229993956E-2</v>
      </c>
      <c r="J46" s="10">
        <f t="shared" si="0"/>
        <v>-2.588439754102557E-3</v>
      </c>
      <c r="K46" s="10">
        <f t="shared" si="1"/>
        <v>1.5656048005116181E-2</v>
      </c>
      <c r="L46" s="10">
        <f t="shared" si="2"/>
        <v>-2.7279519083935149E-2</v>
      </c>
      <c r="M46" s="10">
        <f t="shared" si="3"/>
        <v>1.3530657455433069E-3</v>
      </c>
      <c r="N46" s="10">
        <f t="shared" si="5"/>
        <v>1.0346604285231473E-3</v>
      </c>
      <c r="P46" s="28">
        <f t="shared" si="6"/>
        <v>517.33021426157359</v>
      </c>
    </row>
    <row r="47" spans="1:16" ht="15" x14ac:dyDescent="0.2">
      <c r="A47" s="4">
        <v>32</v>
      </c>
      <c r="B47" s="62">
        <v>46140</v>
      </c>
      <c r="C47" s="9">
        <f>$E$5*(1+'Nestlé India Limited'!B85/100)</f>
        <v>2154.2504519542094</v>
      </c>
      <c r="D47" s="9">
        <f>$E$6*(1+'Pidilite Industries Limited'!B85/100)</f>
        <v>2785.2</v>
      </c>
      <c r="E47" s="9">
        <f>$E$7*(1+'Divi''s Laboratories Limited'!B85/100)</f>
        <v>6432.5</v>
      </c>
      <c r="F47" s="9">
        <f>$E$8*(1+'Bosch Limited'!B85/100)</f>
        <v>37362.664132299062</v>
      </c>
      <c r="G47" s="9">
        <f>$E$9*(1+'UltraTech Cement Limited'!B85/100)</f>
        <v>11817</v>
      </c>
      <c r="I47" s="10">
        <f t="shared" si="4"/>
        <v>1.652582949387427E-2</v>
      </c>
      <c r="J47" s="10">
        <f t="shared" si="0"/>
        <v>-4.7996080532214007E-3</v>
      </c>
      <c r="K47" s="10">
        <f t="shared" si="1"/>
        <v>-6.8941750270177888E-3</v>
      </c>
      <c r="L47" s="10">
        <f t="shared" si="2"/>
        <v>4.194312381583111E-3</v>
      </c>
      <c r="M47" s="10">
        <f t="shared" si="3"/>
        <v>-1.62004634350137E-2</v>
      </c>
      <c r="N47" s="10">
        <f t="shared" si="5"/>
        <v>-1.4348209279591022E-3</v>
      </c>
      <c r="P47" s="28">
        <f t="shared" si="6"/>
        <v>-717.41046397955108</v>
      </c>
    </row>
    <row r="48" spans="1:16" ht="15" x14ac:dyDescent="0.2">
      <c r="A48" s="4">
        <v>33</v>
      </c>
      <c r="B48" s="62">
        <v>46139</v>
      </c>
      <c r="C48" s="9">
        <f>$E$5*(1+'Nestlé India Limited'!B86/100)</f>
        <v>2118.9422286983445</v>
      </c>
      <c r="D48" s="9">
        <f>$E$6*(1+'Pidilite Industries Limited'!B86/100)</f>
        <v>2798.6</v>
      </c>
      <c r="E48" s="9">
        <f>$E$7*(1+'Divi''s Laboratories Limited'!B86/100)</f>
        <v>6477</v>
      </c>
      <c r="F48" s="9">
        <f>$E$8*(1+'Bosch Limited'!B86/100)</f>
        <v>37206.281635301755</v>
      </c>
      <c r="G48" s="9">
        <f>$E$9*(1+'UltraTech Cement Limited'!B86/100)</f>
        <v>12010</v>
      </c>
      <c r="I48" s="10">
        <f t="shared" si="4"/>
        <v>-3.3481977461084023E-3</v>
      </c>
      <c r="J48" s="10">
        <f t="shared" si="0"/>
        <v>3.5796143606923658E-3</v>
      </c>
      <c r="K48" s="10">
        <f t="shared" si="1"/>
        <v>1.7993241600161924E-2</v>
      </c>
      <c r="L48" s="10">
        <f t="shared" si="2"/>
        <v>1.4012235299076465E-2</v>
      </c>
      <c r="M48" s="10">
        <f t="shared" si="3"/>
        <v>9.996668609907691E-4</v>
      </c>
      <c r="N48" s="10">
        <f t="shared" si="5"/>
        <v>6.6473120749626245E-3</v>
      </c>
      <c r="P48" s="28">
        <f t="shared" si="6"/>
        <v>3323.6560374813121</v>
      </c>
    </row>
    <row r="49" spans="1:16" ht="15" x14ac:dyDescent="0.2">
      <c r="A49" s="4">
        <v>34</v>
      </c>
      <c r="B49" s="62">
        <v>46136</v>
      </c>
      <c r="C49" s="9">
        <f>$E$5*(1+'Nestlé India Limited'!B87/100)</f>
        <v>2126.0487566841648</v>
      </c>
      <c r="D49" s="9">
        <f>$E$6*(1+'Pidilite Industries Limited'!B87/100)</f>
        <v>2788.6</v>
      </c>
      <c r="E49" s="9">
        <f>$E$7*(1+'Divi''s Laboratories Limited'!B87/100)</f>
        <v>6361.5</v>
      </c>
      <c r="F49" s="9">
        <f>$E$8*(1+'Bosch Limited'!B87/100)</f>
        <v>36688.574053301047</v>
      </c>
      <c r="G49" s="9">
        <f>$E$9*(1+'UltraTech Cement Limited'!B87/100)</f>
        <v>11998</v>
      </c>
      <c r="I49" s="10">
        <f t="shared" si="4"/>
        <v>7.7708702300636062E-3</v>
      </c>
      <c r="J49" s="10">
        <f t="shared" si="0"/>
        <v>-5.5786155261105556E-3</v>
      </c>
      <c r="K49" s="10">
        <f t="shared" si="1"/>
        <v>-2.6687613955896526E-3</v>
      </c>
      <c r="L49" s="10">
        <f t="shared" si="2"/>
        <v>-2.0371254722925652E-2</v>
      </c>
      <c r="M49" s="10">
        <f t="shared" si="3"/>
        <v>-1.3987399574410852E-2</v>
      </c>
      <c r="N49" s="10">
        <f t="shared" si="5"/>
        <v>-6.9670321977946207E-3</v>
      </c>
      <c r="P49" s="28">
        <f t="shared" si="6"/>
        <v>-3483.5160988973103</v>
      </c>
    </row>
    <row r="50" spans="1:16" ht="15" x14ac:dyDescent="0.2">
      <c r="A50" s="4">
        <v>35</v>
      </c>
      <c r="B50" s="62">
        <v>46135</v>
      </c>
      <c r="C50" s="9">
        <f>$E$5*(1+'Nestlé India Limited'!B88/100)</f>
        <v>2109.59153398016</v>
      </c>
      <c r="D50" s="9">
        <f>$E$6*(1+'Pidilite Industries Limited'!B88/100)</f>
        <v>2804.2</v>
      </c>
      <c r="E50" s="9">
        <f>$E$7*(1+'Divi''s Laboratories Limited'!B88/100)</f>
        <v>6378.5</v>
      </c>
      <c r="F50" s="9">
        <f>$E$8*(1+'Bosch Limited'!B88/100)</f>
        <v>37443.630957575253</v>
      </c>
      <c r="G50" s="9">
        <f>$E$9*(1+'UltraTech Cement Limited'!B88/100)</f>
        <v>12167.000000000002</v>
      </c>
      <c r="I50" s="10">
        <f t="shared" si="4"/>
        <v>1.0229083221796749E-2</v>
      </c>
      <c r="J50" s="10">
        <f t="shared" si="0"/>
        <v>-1.1981285432956838E-2</v>
      </c>
      <c r="K50" s="10">
        <f t="shared" si="1"/>
        <v>1.4687566623458957E-2</v>
      </c>
      <c r="L50" s="10">
        <f t="shared" si="2"/>
        <v>-1.0726050486730185E-2</v>
      </c>
      <c r="M50" s="10">
        <f t="shared" si="3"/>
        <v>-2.1346477728154925E-3</v>
      </c>
      <c r="N50" s="10">
        <f t="shared" si="5"/>
        <v>1.4933230550638436E-5</v>
      </c>
      <c r="P50" s="28">
        <f t="shared" si="6"/>
        <v>7.4666152753192181</v>
      </c>
    </row>
    <row r="51" spans="1:16" ht="15" x14ac:dyDescent="0.2">
      <c r="A51" s="4">
        <v>36</v>
      </c>
      <c r="B51" s="62">
        <v>46134</v>
      </c>
      <c r="C51" s="9">
        <f>$E$5*(1+'Nestlé India Limited'!B89/100)</f>
        <v>2088.1223389072088</v>
      </c>
      <c r="D51" s="9">
        <f>$E$6*(1+'Pidilite Industries Limited'!B89/100)</f>
        <v>2838</v>
      </c>
      <c r="E51" s="9">
        <f>$E$7*(1+'Divi''s Laboratories Limited'!B89/100)</f>
        <v>6285.5</v>
      </c>
      <c r="F51" s="9">
        <f>$E$8*(1+'Bosch Limited'!B89/100)</f>
        <v>37847.414865716069</v>
      </c>
      <c r="G51" s="9">
        <f>$E$9*(1+'UltraTech Cement Limited'!B89/100)</f>
        <v>12193</v>
      </c>
      <c r="I51" s="10">
        <f t="shared" si="4"/>
        <v>1.2255055337015354E-2</v>
      </c>
      <c r="J51" s="10">
        <f t="shared" si="0"/>
        <v>7.924195986011533E-3</v>
      </c>
      <c r="K51" s="10">
        <f t="shared" si="1"/>
        <v>-7.9545002627106389E-5</v>
      </c>
      <c r="L51" s="10">
        <f t="shared" si="2"/>
        <v>-7.21369814564078E-3</v>
      </c>
      <c r="M51" s="10">
        <f t="shared" si="3"/>
        <v>1.2710636625238487E-2</v>
      </c>
      <c r="N51" s="10">
        <f t="shared" si="5"/>
        <v>5.1193289599994977E-3</v>
      </c>
      <c r="P51" s="28">
        <f t="shared" si="6"/>
        <v>2559.6644799997489</v>
      </c>
    </row>
    <row r="52" spans="1:16" ht="15" x14ac:dyDescent="0.2">
      <c r="A52" s="4">
        <v>37</v>
      </c>
      <c r="B52" s="62">
        <v>46133</v>
      </c>
      <c r="C52" s="9">
        <f>$E$5*(1+'Nestlé India Limited'!B90/100)</f>
        <v>2062.6884492737468</v>
      </c>
      <c r="D52" s="9">
        <f>$E$6*(1+'Pidilite Industries Limited'!B90/100)</f>
        <v>2815.6</v>
      </c>
      <c r="E52" s="9">
        <f>$E$7*(1+'Divi''s Laboratories Limited'!B90/100)</f>
        <v>6286</v>
      </c>
      <c r="F52" s="9">
        <f>$E$8*(1+'Bosch Limited'!B90/100)</f>
        <v>38121.421805609985</v>
      </c>
      <c r="G52" s="9">
        <f>$E$9*(1+'UltraTech Cement Limited'!B90/100)</f>
        <v>12038.999999999998</v>
      </c>
      <c r="I52" s="10">
        <f t="shared" si="4"/>
        <v>6.8516345559067701E-2</v>
      </c>
      <c r="J52" s="10">
        <f t="shared" si="0"/>
        <v>1.2364807500011706E-2</v>
      </c>
      <c r="K52" s="10">
        <f t="shared" si="1"/>
        <v>9.5495789526849181E-4</v>
      </c>
      <c r="L52" s="10">
        <f t="shared" si="2"/>
        <v>9.1871262937088891E-3</v>
      </c>
      <c r="M52" s="10">
        <f t="shared" si="3"/>
        <v>1.0185427844220048E-2</v>
      </c>
      <c r="N52" s="10">
        <f t="shared" si="5"/>
        <v>2.0241733018455371E-2</v>
      </c>
      <c r="P52" s="28">
        <f t="shared" si="6"/>
        <v>10120.866509227686</v>
      </c>
    </row>
    <row r="53" spans="1:16" ht="15" x14ac:dyDescent="0.2">
      <c r="A53" s="4">
        <v>38</v>
      </c>
      <c r="B53" s="62">
        <v>46132</v>
      </c>
      <c r="C53" s="9">
        <f>$E$5*(1+'Nestlé India Limited'!B91/100)</f>
        <v>1926.0935008305084</v>
      </c>
      <c r="D53" s="9">
        <f>$E$6*(1+'Pidilite Industries Limited'!B91/100)</f>
        <v>2781</v>
      </c>
      <c r="E53" s="9">
        <f>$E$7*(1+'Divi''s Laboratories Limited'!B91/100)</f>
        <v>6280</v>
      </c>
      <c r="F53" s="9">
        <f>$E$8*(1+'Bosch Limited'!B91/100)</f>
        <v>37772.799360273151</v>
      </c>
      <c r="G53" s="9">
        <f>$E$9*(1+'UltraTech Cement Limited'!B91/100)</f>
        <v>11917</v>
      </c>
      <c r="I53" s="10">
        <f t="shared" si="4"/>
        <v>1.3602536055140257E-3</v>
      </c>
      <c r="J53" s="10">
        <f t="shared" si="0"/>
        <v>-2.0834089219990298E-3</v>
      </c>
      <c r="K53" s="10">
        <f t="shared" si="1"/>
        <v>8.1541742080987675E-3</v>
      </c>
      <c r="L53" s="10">
        <f t="shared" si="2"/>
        <v>6.891168626721165E-3</v>
      </c>
      <c r="M53" s="10">
        <f t="shared" si="3"/>
        <v>2.6047151642000057E-3</v>
      </c>
      <c r="N53" s="10">
        <f t="shared" si="5"/>
        <v>3.3853805365069867E-3</v>
      </c>
      <c r="P53" s="28">
        <f t="shared" si="6"/>
        <v>1692.6902682534933</v>
      </c>
    </row>
    <row r="54" spans="1:16" ht="15" x14ac:dyDescent="0.2">
      <c r="A54" s="4">
        <v>39</v>
      </c>
      <c r="B54" s="62">
        <v>46129</v>
      </c>
      <c r="C54" s="9">
        <f>$E$5*(1+'Nestlé India Limited'!B92/100)</f>
        <v>1923.475306309417</v>
      </c>
      <c r="D54" s="9">
        <f>$E$6*(1+'Pidilite Industries Limited'!B92/100)</f>
        <v>2786.8</v>
      </c>
      <c r="E54" s="9">
        <f>$E$7*(1+'Divi''s Laboratories Limited'!B92/100)</f>
        <v>6229</v>
      </c>
      <c r="F54" s="9">
        <f>$E$8*(1+'Bosch Limited'!B92/100)</f>
        <v>37513.395454956531</v>
      </c>
      <c r="G54" s="9">
        <f>$E$9*(1+'UltraTech Cement Limited'!B92/100)</f>
        <v>11886.000000000002</v>
      </c>
      <c r="I54" s="10">
        <f t="shared" si="4"/>
        <v>2.1304162389732408E-2</v>
      </c>
      <c r="J54" s="10">
        <f t="shared" si="0"/>
        <v>4.5816264200906918E-2</v>
      </c>
      <c r="K54" s="10">
        <f t="shared" si="1"/>
        <v>-1.0301548477414109E-2</v>
      </c>
      <c r="L54" s="10">
        <f t="shared" si="2"/>
        <v>2.1379648906985961E-3</v>
      </c>
      <c r="M54" s="10">
        <f t="shared" si="3"/>
        <v>5.060739545830837E-3</v>
      </c>
      <c r="N54" s="10">
        <f t="shared" si="5"/>
        <v>1.2803516509950931E-2</v>
      </c>
      <c r="P54" s="28">
        <f t="shared" si="6"/>
        <v>6401.7582549754661</v>
      </c>
    </row>
    <row r="55" spans="1:16" ht="15" x14ac:dyDescent="0.2">
      <c r="A55" s="4">
        <v>40</v>
      </c>
      <c r="B55" s="62">
        <v>46128</v>
      </c>
      <c r="C55" s="9">
        <f>$E$5*(1+'Nestlé India Limited'!B93/100)</f>
        <v>1882.9306940113688</v>
      </c>
      <c r="D55" s="9">
        <f>$E$6*(1+'Pidilite Industries Limited'!B93/100)</f>
        <v>2662</v>
      </c>
      <c r="E55" s="9">
        <f>$E$7*(1+'Divi''s Laboratories Limited'!B93/100)</f>
        <v>6293.5</v>
      </c>
      <c r="F55" s="9">
        <f>$E$8*(1+'Bosch Limited'!B93/100)</f>
        <v>37433.278806350936</v>
      </c>
      <c r="G55" s="9">
        <f>$E$9*(1+'UltraTech Cement Limited'!B93/100)</f>
        <v>11826</v>
      </c>
      <c r="I55" s="10">
        <f t="shared" si="4"/>
        <v>1.7893716128970494E-3</v>
      </c>
      <c r="J55" s="10">
        <f t="shared" si="0"/>
        <v>1.1276077120370329E-3</v>
      </c>
      <c r="K55" s="10">
        <f t="shared" si="1"/>
        <v>1.8603695868794543E-2</v>
      </c>
      <c r="L55" s="10">
        <f t="shared" si="2"/>
        <v>9.591482206472008E-3</v>
      </c>
      <c r="M55" s="10">
        <f t="shared" si="3"/>
        <v>3.4729610105436095E-3</v>
      </c>
      <c r="N55" s="10">
        <f t="shared" si="5"/>
        <v>6.91702368214885E-3</v>
      </c>
      <c r="P55" s="28">
        <f t="shared" si="6"/>
        <v>3458.5118410744249</v>
      </c>
    </row>
    <row r="56" spans="1:16" ht="15" x14ac:dyDescent="0.2">
      <c r="A56" s="4">
        <v>41</v>
      </c>
      <c r="B56" s="62">
        <v>46127</v>
      </c>
      <c r="C56" s="9">
        <f>$E$5*(1+'Nestlé India Limited'!B94/100)</f>
        <v>1879.5644439128223</v>
      </c>
      <c r="D56" s="9">
        <f>$E$6*(1+'Pidilite Industries Limited'!B94/100)</f>
        <v>2659</v>
      </c>
      <c r="E56" s="9">
        <f>$E$7*(1+'Divi''s Laboratories Limited'!B94/100)</f>
        <v>6177.5</v>
      </c>
      <c r="F56" s="9">
        <f>$E$8*(1+'Bosch Limited'!B94/100)</f>
        <v>37075.954552738593</v>
      </c>
      <c r="G56" s="9">
        <f>$E$9*(1+'UltraTech Cement Limited'!B94/100)</f>
        <v>11785</v>
      </c>
      <c r="I56" s="10">
        <f t="shared" si="4"/>
        <v>2.3802497040359361E-2</v>
      </c>
      <c r="J56" s="10">
        <f t="shared" si="0"/>
        <v>2.2590371052801598E-3</v>
      </c>
      <c r="K56" s="10">
        <f t="shared" si="1"/>
        <v>1.7555053809221167E-2</v>
      </c>
      <c r="L56" s="10">
        <f t="shared" si="2"/>
        <v>1.2544548985137023E-2</v>
      </c>
      <c r="M56" s="10">
        <f t="shared" si="3"/>
        <v>2.4306603096532039E-2</v>
      </c>
      <c r="N56" s="10">
        <f t="shared" si="5"/>
        <v>1.609354800730595E-2</v>
      </c>
      <c r="P56" s="28">
        <f t="shared" si="6"/>
        <v>8046.7740036529749</v>
      </c>
    </row>
    <row r="57" spans="1:16" ht="15" x14ac:dyDescent="0.2">
      <c r="A57" s="4">
        <v>42</v>
      </c>
      <c r="B57" s="62">
        <v>46125</v>
      </c>
      <c r="C57" s="9">
        <f>$E$5*(1+'Nestlé India Limited'!B96/100)</f>
        <v>1835.3543592852463</v>
      </c>
      <c r="D57" s="9">
        <f>$E$6*(1+'Pidilite Industries Limited'!B96/100)</f>
        <v>2653</v>
      </c>
      <c r="E57" s="9">
        <f>$E$7*(1+'Divi''s Laboratories Limited'!B96/100)</f>
        <v>6070</v>
      </c>
      <c r="F57" s="9">
        <f>$E$8*(1+'Bosch Limited'!B96/100)</f>
        <v>36613.758506288585</v>
      </c>
      <c r="G57" s="9">
        <f>$E$9*(1+'UltraTech Cement Limited'!B96/100)</f>
        <v>11502</v>
      </c>
      <c r="I57" s="10">
        <f t="shared" si="4"/>
        <v>-1.797483515556492E-2</v>
      </c>
      <c r="J57" s="10">
        <f t="shared" si="0"/>
        <v>-2.2806175509530655E-2</v>
      </c>
      <c r="K57" s="10">
        <f t="shared" si="1"/>
        <v>-7.6314324334271454E-3</v>
      </c>
      <c r="L57" s="10">
        <f t="shared" si="2"/>
        <v>-1.8877598711096653E-2</v>
      </c>
      <c r="M57" s="10">
        <f t="shared" si="3"/>
        <v>-7.5354390606916658E-3</v>
      </c>
      <c r="N57" s="10">
        <f t="shared" si="5"/>
        <v>-1.496509617406221E-2</v>
      </c>
      <c r="P57" s="28">
        <f t="shared" si="6"/>
        <v>-7482.5480870311048</v>
      </c>
    </row>
    <row r="58" spans="1:16" ht="15" x14ac:dyDescent="0.2">
      <c r="A58" s="4">
        <v>43</v>
      </c>
      <c r="B58" s="62">
        <v>46122</v>
      </c>
      <c r="C58" s="9">
        <f>$E$5*(1+'Nestlé India Limited'!B97/100)</f>
        <v>1868.6428324819831</v>
      </c>
      <c r="D58" s="9">
        <f>$E$6*(1+'Pidilite Industries Limited'!B97/100)</f>
        <v>2714.2</v>
      </c>
      <c r="E58" s="9">
        <f>$E$7*(1+'Divi''s Laboratories Limited'!B97/100)</f>
        <v>6116.5</v>
      </c>
      <c r="F58" s="9">
        <f>$E$8*(1+'Bosch Limited'!B97/100)</f>
        <v>37311.50350088613</v>
      </c>
      <c r="G58" s="9">
        <f>$E$9*(1+'UltraTech Cement Limited'!B97/100)</f>
        <v>11589.000000000002</v>
      </c>
      <c r="I58" s="10">
        <f t="shared" si="4"/>
        <v>1.6101717904587268E-2</v>
      </c>
      <c r="J58" s="10">
        <f t="shared" si="0"/>
        <v>7.1732605607653993E-3</v>
      </c>
      <c r="K58" s="10">
        <f t="shared" si="1"/>
        <v>2.7178738125953318E-2</v>
      </c>
      <c r="L58" s="10">
        <f t="shared" si="2"/>
        <v>1.4674039128499296E-2</v>
      </c>
      <c r="M58" s="10">
        <f t="shared" si="3"/>
        <v>1.2241330098104386E-2</v>
      </c>
      <c r="N58" s="10">
        <f t="shared" si="5"/>
        <v>1.5473817163581935E-2</v>
      </c>
      <c r="P58" s="28">
        <f t="shared" si="6"/>
        <v>7736.9085817909672</v>
      </c>
    </row>
    <row r="59" spans="1:16" ht="15" x14ac:dyDescent="0.2">
      <c r="A59" s="4">
        <v>44</v>
      </c>
      <c r="B59" s="62">
        <v>46121</v>
      </c>
      <c r="C59" s="9">
        <f>$E$5*(1+'Nestlé India Limited'!B98/100)</f>
        <v>1838.795414941538</v>
      </c>
      <c r="D59" s="9">
        <f>$E$6*(1+'Pidilite Industries Limited'!B98/100)</f>
        <v>2694.8</v>
      </c>
      <c r="E59" s="9">
        <f>$E$7*(1+'Divi''s Laboratories Limited'!B98/100)</f>
        <v>5952.5</v>
      </c>
      <c r="F59" s="9">
        <f>$E$8*(1+'Bosch Limited'!B98/100)</f>
        <v>36767.990556413213</v>
      </c>
      <c r="G59" s="9">
        <f>$E$9*(1+'UltraTech Cement Limited'!B98/100)</f>
        <v>11448</v>
      </c>
      <c r="I59" s="10">
        <f t="shared" si="4"/>
        <v>1.2980016406564151E-2</v>
      </c>
      <c r="J59" s="10">
        <f t="shared" si="0"/>
        <v>-5.6246447872416823E-3</v>
      </c>
      <c r="K59" s="10">
        <f t="shared" si="1"/>
        <v>1.191445924707742E-2</v>
      </c>
      <c r="L59" s="10">
        <f t="shared" si="2"/>
        <v>2.2504943804954547E-2</v>
      </c>
      <c r="M59" s="10">
        <f t="shared" si="3"/>
        <v>-1.3448643111258792E-2</v>
      </c>
      <c r="N59" s="10">
        <f t="shared" si="5"/>
        <v>5.6652263120191291E-3</v>
      </c>
      <c r="P59" s="28">
        <f t="shared" si="6"/>
        <v>2832.6131560095646</v>
      </c>
    </row>
    <row r="60" spans="1:16" ht="15" x14ac:dyDescent="0.2">
      <c r="A60" s="4">
        <v>45</v>
      </c>
      <c r="B60" s="62">
        <v>46120</v>
      </c>
      <c r="C60" s="9">
        <f>$E$5*(1+'Nestlé India Limited'!B99/100)</f>
        <v>1815.0820531362226</v>
      </c>
      <c r="D60" s="9">
        <f>$E$6*(1+'Pidilite Industries Limited'!B99/100)</f>
        <v>2710</v>
      </c>
      <c r="E60" s="9">
        <f>$E$7*(1+'Divi''s Laboratories Limited'!B99/100)</f>
        <v>5882</v>
      </c>
      <c r="F60" s="9">
        <f>$E$8*(1+'Bosch Limited'!B99/100)</f>
        <v>35949.770526552951</v>
      </c>
      <c r="G60" s="9">
        <f>$E$9*(1+'UltraTech Cement Limited'!B99/100)</f>
        <v>11603.000000000002</v>
      </c>
      <c r="I60" s="10">
        <f t="shared" si="4"/>
        <v>-8.4949726002728869E-3</v>
      </c>
      <c r="J60" s="10">
        <f t="shared" si="0"/>
        <v>4.5213542084259761E-2</v>
      </c>
      <c r="K60" s="10">
        <f t="shared" si="1"/>
        <v>5.4551788880382278E-3</v>
      </c>
      <c r="L60" s="10">
        <f t="shared" si="2"/>
        <v>7.2791770494626803E-2</v>
      </c>
      <c r="M60" s="10">
        <f t="shared" si="3"/>
        <v>5.920358594376017E-2</v>
      </c>
      <c r="N60" s="10">
        <f t="shared" si="5"/>
        <v>3.4833820962082415E-2</v>
      </c>
      <c r="P60" s="28">
        <f t="shared" si="6"/>
        <v>17416.910481041206</v>
      </c>
    </row>
    <row r="61" spans="1:16" ht="15" x14ac:dyDescent="0.2">
      <c r="A61" s="4">
        <v>46</v>
      </c>
      <c r="B61" s="62">
        <v>46119</v>
      </c>
      <c r="C61" s="9">
        <f>$E$5*(1+'Nestlé India Limited'!B100/100)</f>
        <v>1830.5668035895358</v>
      </c>
      <c r="D61" s="9">
        <f>$E$6*(1+'Pidilite Industries Limited'!B100/100)</f>
        <v>2590.1999999999998</v>
      </c>
      <c r="E61" s="9">
        <f>$E$7*(1+'Divi''s Laboratories Limited'!B100/100)</f>
        <v>5850</v>
      </c>
      <c r="F61" s="9">
        <f>$E$8*(1+'Bosch Limited'!B100/100)</f>
        <v>33425.896053907141</v>
      </c>
      <c r="G61" s="9">
        <f>$E$9*(1+'UltraTech Cement Limited'!B100/100)</f>
        <v>10936</v>
      </c>
      <c r="I61" s="10">
        <f t="shared" si="4"/>
        <v>6.5598201693029016E-3</v>
      </c>
      <c r="J61" s="10">
        <f t="shared" si="0"/>
        <v>3.0158937138569735E-3</v>
      </c>
      <c r="K61" s="10">
        <f t="shared" si="1"/>
        <v>4.9695929541665644E-3</v>
      </c>
      <c r="L61" s="10">
        <f t="shared" si="2"/>
        <v>-1.3889649063705746E-3</v>
      </c>
      <c r="M61" s="10">
        <f t="shared" si="3"/>
        <v>-1.7358736257814238E-3</v>
      </c>
      <c r="N61" s="10">
        <f t="shared" si="5"/>
        <v>2.2840936610348888E-3</v>
      </c>
      <c r="P61" s="28">
        <f t="shared" si="6"/>
        <v>1142.0468305174443</v>
      </c>
    </row>
    <row r="62" spans="1:16" ht="15" x14ac:dyDescent="0.2">
      <c r="A62" s="4">
        <v>47</v>
      </c>
      <c r="B62" s="62">
        <v>46118</v>
      </c>
      <c r="C62" s="9">
        <f>$E$5*(1+'Nestlé India Limited'!B101/100)</f>
        <v>1818.5979143502595</v>
      </c>
      <c r="D62" s="9">
        <f>$E$6*(1+'Pidilite Industries Limited'!B101/100)</f>
        <v>2582.4</v>
      </c>
      <c r="E62" s="9">
        <f>$E$7*(1+'Divi''s Laboratories Limited'!B101/100)</f>
        <v>5821</v>
      </c>
      <c r="F62" s="9">
        <f>$E$8*(1+'Bosch Limited'!B101/100)</f>
        <v>33472.355708435607</v>
      </c>
      <c r="G62" s="9">
        <f>$E$9*(1+'UltraTech Cement Limited'!B101/100)</f>
        <v>10955</v>
      </c>
      <c r="I62" s="10">
        <f t="shared" si="4"/>
        <v>1.9899707406269021E-2</v>
      </c>
      <c r="J62" s="10">
        <f t="shared" si="0"/>
        <v>1.372448242556598E-2</v>
      </c>
      <c r="K62" s="10">
        <f t="shared" si="1"/>
        <v>-6.0800872381938228E-3</v>
      </c>
      <c r="L62" s="10">
        <f t="shared" si="2"/>
        <v>4.0480717631623815E-2</v>
      </c>
      <c r="M62" s="10">
        <f t="shared" si="3"/>
        <v>3.1056957233637012E-2</v>
      </c>
      <c r="N62" s="10">
        <f t="shared" si="5"/>
        <v>1.9816355491780402E-2</v>
      </c>
      <c r="P62" s="28">
        <f t="shared" si="6"/>
        <v>9908.1777458902015</v>
      </c>
    </row>
    <row r="63" spans="1:16" ht="15" x14ac:dyDescent="0.2">
      <c r="A63" s="4">
        <v>48</v>
      </c>
      <c r="B63" s="62">
        <v>46114</v>
      </c>
      <c r="C63" s="9">
        <f>$E$5*(1+'Nestlé India Limited'!B103/100)</f>
        <v>1782.7660521901769</v>
      </c>
      <c r="D63" s="9">
        <f>$E$6*(1+'Pidilite Industries Limited'!B103/100)</f>
        <v>2547.1999999999998</v>
      </c>
      <c r="E63" s="9">
        <f>$E$7*(1+'Divi''s Laboratories Limited'!B103/100)</f>
        <v>5856.5</v>
      </c>
      <c r="F63" s="9">
        <f>$E$8*(1+'Bosch Limited'!B103/100)</f>
        <v>32144.429759356717</v>
      </c>
      <c r="G63" s="9">
        <f>$E$9*(1+'UltraTech Cement Limited'!B103/100)</f>
        <v>10620</v>
      </c>
      <c r="I63" s="10">
        <f t="shared" si="4"/>
        <v>9.1471120629008987E-3</v>
      </c>
      <c r="J63" s="10">
        <f t="shared" si="0"/>
        <v>-2.5886898534103472E-2</v>
      </c>
      <c r="K63" s="10">
        <f t="shared" si="1"/>
        <v>-8.5012838786453267E-3</v>
      </c>
      <c r="L63" s="10">
        <f t="shared" si="2"/>
        <v>4.8688264280928151E-2</v>
      </c>
      <c r="M63" s="10">
        <f t="shared" si="3"/>
        <v>-8.8122816449758522E-3</v>
      </c>
      <c r="N63" s="10">
        <f t="shared" si="5"/>
        <v>2.9269824572208791E-3</v>
      </c>
      <c r="P63" s="28">
        <f t="shared" si="6"/>
        <v>1463.4912286104395</v>
      </c>
    </row>
    <row r="64" spans="1:16" ht="15" x14ac:dyDescent="0.2">
      <c r="A64" s="4">
        <v>49</v>
      </c>
      <c r="B64" s="62">
        <v>46113</v>
      </c>
      <c r="C64" s="9">
        <f>$E$5*(1+'Nestlé India Limited'!B104/100)</f>
        <v>1766.5332461594085</v>
      </c>
      <c r="D64" s="9">
        <f>$E$6*(1+'Pidilite Industries Limited'!B104/100)</f>
        <v>2614</v>
      </c>
      <c r="E64" s="9">
        <f>$E$7*(1+'Divi''s Laboratories Limited'!B104/100)</f>
        <v>5906.5</v>
      </c>
      <c r="F64" s="9">
        <f>$E$8*(1+'Bosch Limited'!B104/100)</f>
        <v>30616.862323864887</v>
      </c>
      <c r="G64" s="9">
        <f>$E$9*(1+'UltraTech Cement Limited'!B104/100)</f>
        <v>10714</v>
      </c>
      <c r="I64" s="10">
        <f t="shared" si="4"/>
        <v>5.0519094517614401E-3</v>
      </c>
      <c r="J64" s="10">
        <f t="shared" si="0"/>
        <v>1.6975716294901716E-2</v>
      </c>
      <c r="K64" s="10">
        <f t="shared" si="1"/>
        <v>-6.8334513180190242E-3</v>
      </c>
      <c r="L64" s="10">
        <f t="shared" si="2"/>
        <v>6.329331903619996E-2</v>
      </c>
      <c r="M64" s="10">
        <f t="shared" si="3"/>
        <v>-2.8892326357052443E-3</v>
      </c>
      <c r="N64" s="10">
        <f t="shared" si="5"/>
        <v>1.5119652165827769E-2</v>
      </c>
      <c r="P64" s="28">
        <f t="shared" si="6"/>
        <v>7559.8260829138844</v>
      </c>
    </row>
    <row r="65" spans="1:16" ht="15" x14ac:dyDescent="0.2">
      <c r="A65" s="4">
        <v>50</v>
      </c>
      <c r="B65" s="62">
        <v>46111</v>
      </c>
      <c r="C65" s="9">
        <f>$E$5*(1+'Nestlé India Limited'!B106/100)</f>
        <v>1757.6313847876968</v>
      </c>
      <c r="D65" s="9">
        <f>$E$6*(1+'Pidilite Industries Limited'!B106/100)</f>
        <v>2570</v>
      </c>
      <c r="E65" s="9">
        <f>$E$7*(1+'Divi''s Laboratories Limited'!B106/100)</f>
        <v>5947</v>
      </c>
      <c r="F65" s="9">
        <f>$E$8*(1+'Bosch Limited'!B106/100)</f>
        <v>28739.072110479807</v>
      </c>
      <c r="G65" s="9">
        <f>$E$9*(1+'UltraTech Cement Limited'!B106/100)</f>
        <v>10745</v>
      </c>
      <c r="I65" s="10">
        <f t="shared" si="4"/>
        <v>-1.6420452945606248E-2</v>
      </c>
      <c r="J65" s="10">
        <f t="shared" si="0"/>
        <v>-2.3001898763553078E-2</v>
      </c>
      <c r="K65" s="10">
        <f t="shared" si="1"/>
        <v>-8.4558250072559113E-3</v>
      </c>
      <c r="L65" s="10">
        <f t="shared" si="2"/>
        <v>-3.0725780844448946E-2</v>
      </c>
      <c r="M65" s="10">
        <f t="shared" si="3"/>
        <v>-2.7899396036564158E-2</v>
      </c>
      <c r="N65" s="10">
        <f t="shared" si="5"/>
        <v>-2.130067071948567E-2</v>
      </c>
      <c r="P65" s="28">
        <f t="shared" si="6"/>
        <v>-10650.335359742834</v>
      </c>
    </row>
    <row r="66" spans="1:16" ht="15" x14ac:dyDescent="0.2">
      <c r="A66" s="4">
        <v>51</v>
      </c>
      <c r="B66" s="62">
        <v>46108</v>
      </c>
      <c r="C66" s="9">
        <f>$E$5*(1+'Nestlé India Limited'!B107/100)</f>
        <v>1786.7307467506869</v>
      </c>
      <c r="D66" s="9">
        <f>$E$6*(1+'Pidilite Industries Limited'!B107/100)</f>
        <v>2629.8</v>
      </c>
      <c r="E66" s="9">
        <f>$E$7*(1+'Divi''s Laboratories Limited'!B107/100)</f>
        <v>5997.5</v>
      </c>
      <c r="F66" s="9">
        <f>$E$8*(1+'Bosch Limited'!B107/100)</f>
        <v>29635.808456389255</v>
      </c>
      <c r="G66" s="9">
        <f>$E$9*(1+'UltraTech Cement Limited'!B107/100)</f>
        <v>11049</v>
      </c>
      <c r="I66" s="10">
        <f t="shared" si="4"/>
        <v>-8.3801119963631664E-3</v>
      </c>
      <c r="J66" s="10">
        <f t="shared" si="0"/>
        <v>-3.5780789693938261E-2</v>
      </c>
      <c r="K66" s="10">
        <f t="shared" si="1"/>
        <v>-2.8305047202776667E-3</v>
      </c>
      <c r="L66" s="10">
        <f t="shared" si="2"/>
        <v>-2.5290343563527582E-2</v>
      </c>
      <c r="M66" s="10">
        <f t="shared" si="3"/>
        <v>-1.393093126682411E-2</v>
      </c>
      <c r="N66" s="10">
        <f t="shared" si="5"/>
        <v>-1.7242536248186158E-2</v>
      </c>
      <c r="P66" s="28">
        <f t="shared" si="6"/>
        <v>-8621.2681240930797</v>
      </c>
    </row>
    <row r="67" spans="1:16" ht="15" x14ac:dyDescent="0.2">
      <c r="A67" s="4">
        <v>52</v>
      </c>
      <c r="B67" s="62">
        <v>46106</v>
      </c>
      <c r="C67" s="9">
        <f>$E$5*(1+'Nestlé India Limited'!B109/100)</f>
        <v>1801.7666638575279</v>
      </c>
      <c r="D67" s="9">
        <f>$E$6*(1+'Pidilite Industries Limited'!B109/100)</f>
        <v>2725.6</v>
      </c>
      <c r="E67" s="9">
        <f>$E$7*(1+'Divi''s Laboratories Limited'!B109/100)</f>
        <v>6014.5</v>
      </c>
      <c r="F67" s="9">
        <f>$E$8*(1+'Bosch Limited'!B109/100)</f>
        <v>30394.866192054502</v>
      </c>
      <c r="G67" s="9">
        <f>$E$9*(1+'UltraTech Cement Limited'!B109/100)</f>
        <v>11204</v>
      </c>
      <c r="I67" s="10">
        <f t="shared" si="4"/>
        <v>1.7971704608018006E-2</v>
      </c>
      <c r="J67" s="10">
        <f t="shared" si="0"/>
        <v>2.270969580773232E-2</v>
      </c>
      <c r="K67" s="10">
        <f t="shared" si="1"/>
        <v>-1.9102202561192376E-3</v>
      </c>
      <c r="L67" s="10">
        <f t="shared" si="2"/>
        <v>1.0586117707203916E-2</v>
      </c>
      <c r="M67" s="10">
        <f t="shared" si="3"/>
        <v>4.0063624533202807E-2</v>
      </c>
      <c r="N67" s="10">
        <f t="shared" si="5"/>
        <v>1.7884184480007566E-2</v>
      </c>
      <c r="P67" s="28">
        <f t="shared" si="6"/>
        <v>8942.0922400037834</v>
      </c>
    </row>
    <row r="68" spans="1:16" ht="15" x14ac:dyDescent="0.2">
      <c r="A68" s="4">
        <v>53</v>
      </c>
      <c r="B68" s="62">
        <v>46105</v>
      </c>
      <c r="C68" s="9">
        <f>$E$5*(1+'Nestlé India Limited'!B110/100)</f>
        <v>1769.6750795847186</v>
      </c>
      <c r="D68" s="9">
        <f>$E$6*(1+'Pidilite Industries Limited'!B110/100)</f>
        <v>2664.4</v>
      </c>
      <c r="E68" s="9">
        <f>$E$7*(1+'Divi''s Laboratories Limited'!B110/100)</f>
        <v>6026</v>
      </c>
      <c r="F68" s="9">
        <f>$E$8*(1+'Bosch Limited'!B110/100)</f>
        <v>30074.799680771226</v>
      </c>
      <c r="G68" s="9">
        <f>$E$9*(1+'UltraTech Cement Limited'!B110/100)</f>
        <v>10764</v>
      </c>
      <c r="I68" s="10">
        <f t="shared" si="4"/>
        <v>1.3876105849354338E-2</v>
      </c>
      <c r="J68" s="10">
        <f t="shared" si="0"/>
        <v>1.3071093886205839E-2</v>
      </c>
      <c r="K68" s="10">
        <f t="shared" si="1"/>
        <v>2.0764989395752184E-3</v>
      </c>
      <c r="L68" s="10">
        <f t="shared" si="2"/>
        <v>3.1223852860988228E-2</v>
      </c>
      <c r="M68" s="10">
        <f t="shared" si="3"/>
        <v>3.8061964472062795E-2</v>
      </c>
      <c r="N68" s="10">
        <f t="shared" si="5"/>
        <v>1.9661903201637285E-2</v>
      </c>
      <c r="P68" s="28">
        <f t="shared" si="6"/>
        <v>9830.951600818642</v>
      </c>
    </row>
    <row r="69" spans="1:16" ht="15" x14ac:dyDescent="0.2">
      <c r="A69" s="4">
        <v>54</v>
      </c>
      <c r="B69" s="62">
        <v>46104</v>
      </c>
      <c r="C69" s="9">
        <f>$E$5*(1+'Nestlé India Limited'!B111/100)</f>
        <v>1745.2884677596935</v>
      </c>
      <c r="D69" s="9">
        <f>$E$6*(1+'Pidilite Industries Limited'!B111/100)</f>
        <v>2629.8</v>
      </c>
      <c r="E69" s="9">
        <f>$E$7*(1+'Divi''s Laboratories Limited'!B111/100)</f>
        <v>6013.5</v>
      </c>
      <c r="F69" s="9">
        <f>$E$8*(1+'Bosch Limited'!B111/100)</f>
        <v>29150.257556694047</v>
      </c>
      <c r="G69" s="9">
        <f>$E$9*(1+'UltraTech Cement Limited'!B111/100)</f>
        <v>10362</v>
      </c>
      <c r="I69" s="10">
        <f t="shared" si="4"/>
        <v>-2.3174584542280587E-2</v>
      </c>
      <c r="J69" s="10">
        <f t="shared" si="0"/>
        <v>-1.9878675815171342E-2</v>
      </c>
      <c r="K69" s="10">
        <f t="shared" si="1"/>
        <v>-1.4281829410731302E-2</v>
      </c>
      <c r="L69" s="10">
        <f t="shared" si="2"/>
        <v>-4.2347857475225834E-2</v>
      </c>
      <c r="M69" s="10">
        <f t="shared" si="3"/>
        <v>-5.3731932080210987E-2</v>
      </c>
      <c r="N69" s="10">
        <f t="shared" si="5"/>
        <v>-3.0682975864724009E-2</v>
      </c>
      <c r="P69" s="28">
        <f t="shared" si="6"/>
        <v>-15341.487932362004</v>
      </c>
    </row>
    <row r="70" spans="1:16" ht="15" x14ac:dyDescent="0.2">
      <c r="A70" s="4">
        <v>55</v>
      </c>
      <c r="B70" s="62">
        <v>46101</v>
      </c>
      <c r="C70" s="9">
        <f>$E$5*(1+'Nestlé India Limited'!B112/100)</f>
        <v>1786.2071078464687</v>
      </c>
      <c r="D70" s="9">
        <f>$E$6*(1+'Pidilite Industries Limited'!B112/100)</f>
        <v>2682.6</v>
      </c>
      <c r="E70" s="9">
        <f>$E$7*(1+'Divi''s Laboratories Limited'!B112/100)</f>
        <v>6100</v>
      </c>
      <c r="F70" s="9">
        <f>$E$8*(1+'Bosch Limited'!B112/100)</f>
        <v>30411.219590365385</v>
      </c>
      <c r="G70" s="9">
        <f>$E$9*(1+'UltraTech Cement Limited'!B112/100)</f>
        <v>10934</v>
      </c>
      <c r="I70" s="10">
        <f t="shared" si="4"/>
        <v>4.7857024297014742E-3</v>
      </c>
      <c r="J70" s="10">
        <f t="shared" si="0"/>
        <v>2.4452203110370888E-2</v>
      </c>
      <c r="K70" s="10">
        <f t="shared" si="1"/>
        <v>2.1123170961437957E-2</v>
      </c>
      <c r="L70" s="10">
        <f t="shared" si="2"/>
        <v>7.4176994109429982E-3</v>
      </c>
      <c r="M70" s="10">
        <f t="shared" si="3"/>
        <v>1.1035609512994506E-2</v>
      </c>
      <c r="N70" s="10">
        <f t="shared" si="5"/>
        <v>1.3762877085089567E-2</v>
      </c>
      <c r="P70" s="28">
        <f t="shared" si="6"/>
        <v>6881.4385425447836</v>
      </c>
    </row>
    <row r="71" spans="1:16" ht="15" x14ac:dyDescent="0.2">
      <c r="A71" s="4">
        <v>56</v>
      </c>
      <c r="B71" s="62">
        <v>46100</v>
      </c>
      <c r="C71" s="9">
        <f>$E$5*(1+'Nestlé India Limited'!B113/100)</f>
        <v>1777.6792742634846</v>
      </c>
      <c r="D71" s="9">
        <f>$E$6*(1+'Pidilite Industries Limited'!B113/100)</f>
        <v>2617.8000000000002</v>
      </c>
      <c r="E71" s="9">
        <f>$E$7*(1+'Divi''s Laboratories Limited'!B113/100)</f>
        <v>5972.5</v>
      </c>
      <c r="F71" s="9">
        <f>$E$8*(1+'Bosch Limited'!B113/100)</f>
        <v>30186.472886973657</v>
      </c>
      <c r="G71" s="9">
        <f>$E$9*(1+'UltraTech Cement Limited'!B113/100)</f>
        <v>10814</v>
      </c>
      <c r="I71" s="10">
        <f t="shared" si="4"/>
        <v>-1.350044537716158E-2</v>
      </c>
      <c r="J71" s="10">
        <f t="shared" si="0"/>
        <v>-5.607974296351554E-2</v>
      </c>
      <c r="K71" s="10">
        <f t="shared" si="1"/>
        <v>-2.7659141941223504E-2</v>
      </c>
      <c r="L71" s="10">
        <f t="shared" si="2"/>
        <v>-2.6428474191591313E-2</v>
      </c>
      <c r="M71" s="10">
        <f t="shared" si="3"/>
        <v>-3.9259835462071596E-2</v>
      </c>
      <c r="N71" s="10">
        <f t="shared" si="5"/>
        <v>-3.2585527987112707E-2</v>
      </c>
      <c r="P71" s="28">
        <f t="shared" si="6"/>
        <v>-16292.763993556353</v>
      </c>
    </row>
    <row r="72" spans="1:16" ht="15" x14ac:dyDescent="0.2">
      <c r="A72" s="4">
        <v>57</v>
      </c>
      <c r="B72" s="62">
        <v>46099</v>
      </c>
      <c r="C72" s="9">
        <f>$E$5*(1+'Nestlé India Limited'!B114/100)</f>
        <v>1801.8414694152732</v>
      </c>
      <c r="D72" s="9">
        <f>$E$6*(1+'Pidilite Industries Limited'!B114/100)</f>
        <v>2768.8</v>
      </c>
      <c r="E72" s="9">
        <f>$E$7*(1+'Divi''s Laboratories Limited'!B114/100)</f>
        <v>6140</v>
      </c>
      <c r="F72" s="9">
        <f>$E$8*(1+'Bosch Limited'!B114/100)</f>
        <v>30994.890879925875</v>
      </c>
      <c r="G72" s="9">
        <f>$E$9*(1+'UltraTech Cement Limited'!B114/100)</f>
        <v>11247</v>
      </c>
      <c r="I72" s="10">
        <f t="shared" si="4"/>
        <v>-1.617821272535255E-3</v>
      </c>
      <c r="J72" s="10">
        <f t="shared" si="0"/>
        <v>1.9990451926320114E-2</v>
      </c>
      <c r="K72" s="10">
        <f t="shared" si="1"/>
        <v>8.7515382915372298E-3</v>
      </c>
      <c r="L72" s="10">
        <f t="shared" si="2"/>
        <v>1.1750539731736002E-2</v>
      </c>
      <c r="M72" s="10">
        <f t="shared" si="3"/>
        <v>1.1715914541627282E-2</v>
      </c>
      <c r="N72" s="10">
        <f t="shared" si="5"/>
        <v>1.0118124643737077E-2</v>
      </c>
      <c r="P72" s="28">
        <f t="shared" si="6"/>
        <v>5059.0623218685387</v>
      </c>
    </row>
    <row r="73" spans="1:16" ht="15" x14ac:dyDescent="0.2">
      <c r="A73" s="4">
        <v>58</v>
      </c>
      <c r="B73" s="62">
        <v>46098</v>
      </c>
      <c r="C73" s="9">
        <f>$E$5*(1+'Nestlé India Limited'!B115/100)</f>
        <v>1804.7588861673466</v>
      </c>
      <c r="D73" s="9">
        <f>$E$6*(1+'Pidilite Industries Limited'!B115/100)</f>
        <v>2714</v>
      </c>
      <c r="E73" s="9">
        <f>$E$7*(1+'Divi''s Laboratories Limited'!B115/100)</f>
        <v>6086.5</v>
      </c>
      <c r="F73" s="9">
        <f>$E$8*(1+'Bosch Limited'!B115/100)</f>
        <v>30632.815639036664</v>
      </c>
      <c r="G73" s="9">
        <f>$E$9*(1+'UltraTech Cement Limited'!B115/100)</f>
        <v>11116</v>
      </c>
      <c r="I73" s="10">
        <f t="shared" si="4"/>
        <v>-4.5490339395507211E-3</v>
      </c>
      <c r="J73" s="10">
        <f t="shared" si="0"/>
        <v>2.508670982910347E-3</v>
      </c>
      <c r="K73" s="10">
        <f t="shared" si="1"/>
        <v>2.5498677192169134E-3</v>
      </c>
      <c r="L73" s="10">
        <f t="shared" si="2"/>
        <v>8.318189839816954E-3</v>
      </c>
      <c r="M73" s="10">
        <f t="shared" si="3"/>
        <v>1.5304977104147375E-3</v>
      </c>
      <c r="N73" s="10">
        <f t="shared" si="5"/>
        <v>2.0716384625616459E-3</v>
      </c>
      <c r="P73" s="28">
        <f t="shared" si="6"/>
        <v>1035.819231280823</v>
      </c>
    </row>
    <row r="74" spans="1:16" ht="15" x14ac:dyDescent="0.2">
      <c r="A74" s="4">
        <v>59</v>
      </c>
      <c r="B74" s="62">
        <v>46097</v>
      </c>
      <c r="C74" s="9">
        <f>$E$5*(1+'Nestlé India Limited'!B116/100)</f>
        <v>1812.9874975193491</v>
      </c>
      <c r="D74" s="9">
        <f>$E$6*(1+'Pidilite Industries Limited'!B116/100)</f>
        <v>2707.2</v>
      </c>
      <c r="E74" s="9">
        <f>$E$7*(1+'Divi''s Laboratories Limited'!B116/100)</f>
        <v>6071</v>
      </c>
      <c r="F74" s="9">
        <f>$E$8*(1+'Bosch Limited'!B116/100)</f>
        <v>30379.062908059892</v>
      </c>
      <c r="G74" s="9">
        <f>$E$9*(1+'UltraTech Cement Limited'!B116/100)</f>
        <v>11099</v>
      </c>
      <c r="I74" s="10">
        <f t="shared" si="4"/>
        <v>8.0784249431107586E-3</v>
      </c>
      <c r="J74" s="10">
        <f t="shared" si="0"/>
        <v>1.009809590700173E-2</v>
      </c>
      <c r="K74" s="10">
        <f t="shared" si="1"/>
        <v>0</v>
      </c>
      <c r="L74" s="10">
        <f t="shared" si="2"/>
        <v>5.8429829814021289E-3</v>
      </c>
      <c r="M74" s="10">
        <f t="shared" si="3"/>
        <v>4.4492717139936036E-2</v>
      </c>
      <c r="N74" s="10">
        <f t="shared" si="5"/>
        <v>1.3702444194290132E-2</v>
      </c>
      <c r="P74" s="28">
        <f t="shared" si="6"/>
        <v>6851.2220971450661</v>
      </c>
    </row>
    <row r="75" spans="1:16" ht="15" x14ac:dyDescent="0.2">
      <c r="A75" s="4">
        <v>60</v>
      </c>
      <c r="B75" s="62">
        <v>46094</v>
      </c>
      <c r="C75" s="9">
        <f>$E$5*(1+'Nestlé India Limited'!B117/100)</f>
        <v>1798.4004137589811</v>
      </c>
      <c r="D75" s="9">
        <f>$E$6*(1+'Pidilite Industries Limited'!B117/100)</f>
        <v>2680</v>
      </c>
      <c r="E75" s="9">
        <f>$E$7*(1+'Divi''s Laboratories Limited'!B117/100)</f>
        <v>6071</v>
      </c>
      <c r="F75" s="9">
        <f>$E$8*(1+'Bosch Limited'!B117/100)</f>
        <v>30202.076129398716</v>
      </c>
      <c r="G75" s="9">
        <f>$E$9*(1+'UltraTech Cement Limited'!B117/100)</f>
        <v>10616</v>
      </c>
      <c r="I75" s="10">
        <f t="shared" si="4"/>
        <v>-1.4699467780780373E-2</v>
      </c>
      <c r="J75" s="10">
        <f t="shared" si="0"/>
        <v>-3.4761878006243897E-2</v>
      </c>
      <c r="K75" s="10">
        <f t="shared" si="1"/>
        <v>-3.4165064968157799E-2</v>
      </c>
      <c r="L75" s="10">
        <f t="shared" si="2"/>
        <v>-3.5298452081722505E-2</v>
      </c>
      <c r="M75" s="10">
        <f t="shared" si="3"/>
        <v>-4.3591328941172409E-2</v>
      </c>
      <c r="N75" s="10">
        <f t="shared" si="5"/>
        <v>-3.2503238355615395E-2</v>
      </c>
      <c r="P75" s="28">
        <f t="shared" si="6"/>
        <v>-16251.619177807697</v>
      </c>
    </row>
    <row r="76" spans="1:16" ht="15" x14ac:dyDescent="0.2">
      <c r="A76" s="4">
        <v>61</v>
      </c>
      <c r="B76" s="62">
        <v>46093</v>
      </c>
      <c r="C76" s="9">
        <f>$E$5*(1+'Nestlé India Limited'!B118/100)</f>
        <v>1825.0311923163704</v>
      </c>
      <c r="D76" s="9">
        <f>$E$6*(1+'Pidilite Industries Limited'!B118/100)</f>
        <v>2774.8</v>
      </c>
      <c r="E76" s="9">
        <f>$E$7*(1+'Divi''s Laboratories Limited'!B118/100)</f>
        <v>6282</v>
      </c>
      <c r="F76" s="9">
        <f>$E$8*(1+'Bosch Limited'!B118/100)</f>
        <v>31287.201623433804</v>
      </c>
      <c r="G76" s="9">
        <f>$E$9*(1+'UltraTech Cement Limited'!B118/100)</f>
        <v>11089</v>
      </c>
      <c r="I76" s="10">
        <f t="shared" si="4"/>
        <v>-1.1006144037854581E-2</v>
      </c>
      <c r="J76" s="10">
        <f t="shared" si="0"/>
        <v>-1.1466371866987438E-2</v>
      </c>
      <c r="K76" s="10">
        <f t="shared" si="1"/>
        <v>-1.1160035095727308E-2</v>
      </c>
      <c r="L76" s="10">
        <f t="shared" si="2"/>
        <v>-1.3102430512342E-2</v>
      </c>
      <c r="M76" s="10">
        <f t="shared" si="3"/>
        <v>-3.3083590158466951E-2</v>
      </c>
      <c r="N76" s="10">
        <f t="shared" si="5"/>
        <v>-1.5963714334275656E-2</v>
      </c>
      <c r="P76" s="28">
        <f t="shared" si="6"/>
        <v>-7981.8571671378277</v>
      </c>
    </row>
    <row r="77" spans="1:16" ht="15" x14ac:dyDescent="0.2">
      <c r="A77" s="4">
        <v>62</v>
      </c>
      <c r="B77" s="62">
        <v>46092</v>
      </c>
      <c r="C77" s="9">
        <f>$E$5*(1+'Nestlé India Limited'!B119/100)</f>
        <v>1845.228692907649</v>
      </c>
      <c r="D77" s="9">
        <f>$E$6*(1+'Pidilite Industries Limited'!B119/100)</f>
        <v>2806.8</v>
      </c>
      <c r="E77" s="9">
        <f>$E$7*(1+'Divi''s Laboratories Limited'!B119/100)</f>
        <v>6352.5</v>
      </c>
      <c r="F77" s="9">
        <f>$E$8*(1+'Bosch Limited'!B119/100)</f>
        <v>31699.83737102729</v>
      </c>
      <c r="G77" s="9">
        <f>$E$9*(1+'UltraTech Cement Limited'!B119/100)</f>
        <v>11462</v>
      </c>
      <c r="I77" s="10">
        <f t="shared" si="4"/>
        <v>-6.6668260425414164E-3</v>
      </c>
      <c r="J77" s="10">
        <f t="shared" si="0"/>
        <v>-1.716689397698612E-2</v>
      </c>
      <c r="K77" s="10">
        <f t="shared" si="1"/>
        <v>-3.064955835619998E-3</v>
      </c>
      <c r="L77" s="10">
        <f t="shared" si="2"/>
        <v>-1.1138855236156988E-2</v>
      </c>
      <c r="M77" s="10">
        <f t="shared" si="3"/>
        <v>-1.6612252591336876E-2</v>
      </c>
      <c r="N77" s="10">
        <f t="shared" si="5"/>
        <v>-1.092995673652828E-2</v>
      </c>
      <c r="P77" s="28">
        <f t="shared" si="6"/>
        <v>-5464.97836826414</v>
      </c>
    </row>
    <row r="78" spans="1:16" ht="15" x14ac:dyDescent="0.2">
      <c r="A78" s="4">
        <v>63</v>
      </c>
      <c r="B78" s="62">
        <v>46091</v>
      </c>
      <c r="C78" s="9">
        <f>$E$5*(1+'Nestlé India Limited'!B120/100)</f>
        <v>1857.5716099356525</v>
      </c>
      <c r="D78" s="9">
        <f>$E$6*(1+'Pidilite Industries Limited'!B120/100)</f>
        <v>2855.4</v>
      </c>
      <c r="E78" s="9">
        <f>$E$7*(1+'Divi''s Laboratories Limited'!B120/100)</f>
        <v>6372</v>
      </c>
      <c r="F78" s="9">
        <f>$E$8*(1+'Bosch Limited'!B120/100)</f>
        <v>32054.911156982176</v>
      </c>
      <c r="G78" s="9">
        <f>$E$9*(1+'UltraTech Cement Limited'!B120/100)</f>
        <v>11654.000000000002</v>
      </c>
      <c r="I78" s="10">
        <f t="shared" si="4"/>
        <v>4.3587122037811689E-3</v>
      </c>
      <c r="J78" s="10">
        <f t="shared" si="0"/>
        <v>2.935429839377808E-2</v>
      </c>
      <c r="K78" s="10">
        <f t="shared" si="1"/>
        <v>6.6131558917172303E-3</v>
      </c>
      <c r="L78" s="10">
        <f t="shared" si="2"/>
        <v>1.3421122857142361E-2</v>
      </c>
      <c r="M78" s="10">
        <f t="shared" si="3"/>
        <v>2.396780239242691E-2</v>
      </c>
      <c r="N78" s="10">
        <f t="shared" si="5"/>
        <v>1.5543018347769152E-2</v>
      </c>
      <c r="P78" s="28">
        <f t="shared" si="6"/>
        <v>7771.5091738845758</v>
      </c>
    </row>
    <row r="79" spans="1:16" ht="15" x14ac:dyDescent="0.2">
      <c r="A79" s="4">
        <v>64</v>
      </c>
      <c r="B79" s="62">
        <v>46090</v>
      </c>
      <c r="C79" s="9">
        <f>$E$5*(1+'Nestlé India Limited'!B121/100)</f>
        <v>1849.4926096991414</v>
      </c>
      <c r="D79" s="9">
        <f>$E$6*(1+'Pidilite Industries Limited'!B121/100)</f>
        <v>2772.8</v>
      </c>
      <c r="E79" s="9">
        <f>$E$7*(1+'Divi''s Laboratories Limited'!B121/100)</f>
        <v>6330</v>
      </c>
      <c r="F79" s="9">
        <f>$E$8*(1+'Bosch Limited'!B121/100)</f>
        <v>31627.572354026612</v>
      </c>
      <c r="G79" s="9">
        <f>$E$9*(1+'UltraTech Cement Limited'!B121/100)</f>
        <v>11378</v>
      </c>
      <c r="I79" s="10">
        <f t="shared" si="4"/>
        <v>-1.3019552227077629E-2</v>
      </c>
      <c r="J79" s="10">
        <f t="shared" si="0"/>
        <v>-3.3617803017375401E-2</v>
      </c>
      <c r="K79" s="10">
        <f t="shared" si="1"/>
        <v>1.5799036291641897E-4</v>
      </c>
      <c r="L79" s="10">
        <f t="shared" si="2"/>
        <v>-5.3282791208545115E-2</v>
      </c>
      <c r="M79" s="10">
        <f t="shared" si="3"/>
        <v>-5.214106289650712E-2</v>
      </c>
      <c r="N79" s="10">
        <f t="shared" si="5"/>
        <v>-3.0380643797317773E-2</v>
      </c>
      <c r="P79" s="28">
        <f t="shared" si="6"/>
        <v>-15190.321898658887</v>
      </c>
    </row>
    <row r="80" spans="1:16" ht="15" x14ac:dyDescent="0.2">
      <c r="A80" s="4">
        <v>65</v>
      </c>
      <c r="B80" s="62">
        <v>46087</v>
      </c>
      <c r="C80" s="9">
        <f>$E$5*(1+'Nestlé India Limited'!B122/100)</f>
        <v>1873.7296104086754</v>
      </c>
      <c r="D80" s="9">
        <f>$E$6*(1+'Pidilite Industries Limited'!B122/100)</f>
        <v>2867.6</v>
      </c>
      <c r="E80" s="9">
        <f>$E$7*(1+'Divi''s Laboratories Limited'!B122/100)</f>
        <v>6329</v>
      </c>
      <c r="F80" s="9">
        <f>$E$8*(1+'Bosch Limited'!B122/100)</f>
        <v>33358.482044968106</v>
      </c>
      <c r="G80" s="9">
        <f>$E$9*(1+'UltraTech Cement Limited'!B122/100)</f>
        <v>11987</v>
      </c>
      <c r="I80" s="10">
        <f t="shared" si="4"/>
        <v>9.5861966120391699E-4</v>
      </c>
      <c r="J80" s="10">
        <f t="shared" ref="J80:J143" si="7">LN(D80/D81)</f>
        <v>-8.4037026153088099E-3</v>
      </c>
      <c r="K80" s="10">
        <f t="shared" ref="K80:K143" si="8">LN(E80/E81)</f>
        <v>-5.5934285351838704E-3</v>
      </c>
      <c r="L80" s="10">
        <f t="shared" ref="L80:L143" si="9">LN(F80/F81)</f>
        <v>3.4631003046603727E-3</v>
      </c>
      <c r="M80" s="10">
        <f t="shared" ref="M80:M143" si="10">LN(G80/G81)</f>
        <v>-2.4800447180353621E-2</v>
      </c>
      <c r="N80" s="10">
        <f t="shared" si="5"/>
        <v>-6.8751716729964028E-3</v>
      </c>
      <c r="P80" s="28">
        <f t="shared" si="6"/>
        <v>-3437.5858364982014</v>
      </c>
    </row>
    <row r="81" spans="1:16" ht="15" x14ac:dyDescent="0.2">
      <c r="A81" s="4">
        <v>66</v>
      </c>
      <c r="B81" s="62">
        <v>46086</v>
      </c>
      <c r="C81" s="9">
        <f>$E$5*(1+'Nestlé India Limited'!B123/100)</f>
        <v>1871.934277022784</v>
      </c>
      <c r="D81" s="9">
        <f>$E$6*(1+'Pidilite Industries Limited'!B123/100)</f>
        <v>2891.8</v>
      </c>
      <c r="E81" s="9">
        <f>$E$7*(1+'Divi''s Laboratories Limited'!B123/100)</f>
        <v>6364.5</v>
      </c>
      <c r="F81" s="9">
        <f>$E$8*(1+'Bosch Limited'!B123/100)</f>
        <v>33243.158080121349</v>
      </c>
      <c r="G81" s="9">
        <f>$E$9*(1+'UltraTech Cement Limited'!B123/100)</f>
        <v>12288</v>
      </c>
      <c r="I81" s="10">
        <f t="shared" ref="I81:I144" si="11">LN(C81/C82)</f>
        <v>5.2888976559292518E-3</v>
      </c>
      <c r="J81" s="10">
        <f t="shared" si="7"/>
        <v>4.7140468579527986E-3</v>
      </c>
      <c r="K81" s="10">
        <f t="shared" si="8"/>
        <v>7.6495779349566194E-3</v>
      </c>
      <c r="L81" s="10">
        <f t="shared" si="9"/>
        <v>-5.573218042610315E-3</v>
      </c>
      <c r="M81" s="10">
        <f t="shared" si="10"/>
        <v>1.4839378679713161E-2</v>
      </c>
      <c r="N81" s="10">
        <f t="shared" ref="N81:N144" si="12">$D$5*I81+$D$6*J81+$D$7*K81+$D$8*L81+$D$9*M81</f>
        <v>5.383736617188304E-3</v>
      </c>
      <c r="P81" s="28">
        <f t="shared" ref="P81:P144" si="13">$C$10*N81</f>
        <v>2691.868308594152</v>
      </c>
    </row>
    <row r="82" spans="1:16" ht="15" x14ac:dyDescent="0.2">
      <c r="A82" s="4">
        <v>67</v>
      </c>
      <c r="B82" s="62">
        <v>46085</v>
      </c>
      <c r="C82" s="9">
        <f>$E$5*(1+'Nestlé India Limited'!B124/100)</f>
        <v>1862.0599434003809</v>
      </c>
      <c r="D82" s="9">
        <f>$E$6*(1+'Pidilite Industries Limited'!B124/100)</f>
        <v>2878.2</v>
      </c>
      <c r="E82" s="9">
        <f>$E$7*(1+'Divi''s Laboratories Limited'!B124/100)</f>
        <v>6316</v>
      </c>
      <c r="F82" s="9">
        <f>$E$8*(1+'Bosch Limited'!B124/100)</f>
        <v>33428.946687842807</v>
      </c>
      <c r="G82" s="9">
        <f>$E$9*(1+'UltraTech Cement Limited'!B124/100)</f>
        <v>12107</v>
      </c>
      <c r="I82" s="10">
        <f t="shared" si="11"/>
        <v>-2.7342512470230011E-2</v>
      </c>
      <c r="J82" s="10">
        <f t="shared" si="7"/>
        <v>-1.817856297481929E-2</v>
      </c>
      <c r="K82" s="10">
        <f t="shared" si="8"/>
        <v>-1.3758619490593706E-2</v>
      </c>
      <c r="L82" s="10">
        <f t="shared" si="9"/>
        <v>-5.7243184746624376E-2</v>
      </c>
      <c r="M82" s="10">
        <f t="shared" si="10"/>
        <v>-3.3623436961207336E-2</v>
      </c>
      <c r="N82" s="10">
        <f t="shared" si="12"/>
        <v>-3.0029263328694947E-2</v>
      </c>
      <c r="P82" s="28">
        <f t="shared" si="13"/>
        <v>-15014.631664347473</v>
      </c>
    </row>
    <row r="83" spans="1:16" ht="15" x14ac:dyDescent="0.2">
      <c r="A83" s="4">
        <v>68</v>
      </c>
      <c r="B83" s="62">
        <v>46083</v>
      </c>
      <c r="C83" s="9">
        <f>$E$5*(1+'Nestlé India Limited'!B126/100)</f>
        <v>1913.6757782447592</v>
      </c>
      <c r="D83" s="9">
        <f>$E$6*(1+'Pidilite Industries Limited'!B126/100)</f>
        <v>2931</v>
      </c>
      <c r="E83" s="9">
        <f>$E$7*(1+'Divi''s Laboratories Limited'!B126/100)</f>
        <v>6403.5</v>
      </c>
      <c r="F83" s="9">
        <f>$E$8*(1+'Bosch Limited'!B126/100)</f>
        <v>35398.355940082729</v>
      </c>
      <c r="G83" s="9">
        <f>$E$9*(1+'UltraTech Cement Limited'!B126/100)</f>
        <v>12521</v>
      </c>
      <c r="I83" s="10">
        <f t="shared" si="11"/>
        <v>-9.6089125082545364E-3</v>
      </c>
      <c r="J83" s="10">
        <f t="shared" si="7"/>
        <v>-1.7921020612759079E-2</v>
      </c>
      <c r="K83" s="10">
        <f t="shared" si="8"/>
        <v>-7.8051830375222434E-4</v>
      </c>
      <c r="L83" s="10">
        <f t="shared" si="9"/>
        <v>-2.8908982743906839E-2</v>
      </c>
      <c r="M83" s="10">
        <f t="shared" si="10"/>
        <v>-1.2382093269779001E-2</v>
      </c>
      <c r="N83" s="10">
        <f t="shared" si="12"/>
        <v>-1.3920305487690337E-2</v>
      </c>
      <c r="P83" s="28">
        <f t="shared" si="13"/>
        <v>-6960.1527438451685</v>
      </c>
    </row>
    <row r="84" spans="1:16" ht="15" x14ac:dyDescent="0.2">
      <c r="A84" s="4">
        <v>69</v>
      </c>
      <c r="B84" s="62">
        <v>46080</v>
      </c>
      <c r="C84" s="9">
        <f>$E$5*(1+'Nestlé India Limited'!B127/100)</f>
        <v>1932.152751007892</v>
      </c>
      <c r="D84" s="9">
        <f>$E$6*(1+'Pidilite Industries Limited'!B127/100)</f>
        <v>2984</v>
      </c>
      <c r="E84" s="9">
        <f>$E$7*(1+'Divi''s Laboratories Limited'!B127/100)</f>
        <v>6408.5</v>
      </c>
      <c r="F84" s="9">
        <f>$E$8*(1+'Bosch Limited'!B127/100)</f>
        <v>36436.621696450253</v>
      </c>
      <c r="G84" s="9">
        <f>$E$9*(1+'UltraTech Cement Limited'!B127/100)</f>
        <v>12677</v>
      </c>
      <c r="I84" s="10">
        <f t="shared" si="11"/>
        <v>-2.0425687604818013E-2</v>
      </c>
      <c r="J84" s="10">
        <f t="shared" si="7"/>
        <v>-1.6551276833920534E-2</v>
      </c>
      <c r="K84" s="10">
        <f t="shared" si="8"/>
        <v>-1.0168921316310925E-2</v>
      </c>
      <c r="L84" s="10">
        <f t="shared" si="9"/>
        <v>-8.3021944351045086E-3</v>
      </c>
      <c r="M84" s="10">
        <f t="shared" si="10"/>
        <v>-2.0302094979175251E-2</v>
      </c>
      <c r="N84" s="10">
        <f t="shared" si="12"/>
        <v>-1.5150035033865847E-2</v>
      </c>
      <c r="P84" s="28">
        <f t="shared" si="13"/>
        <v>-7575.0175169329232</v>
      </c>
    </row>
    <row r="85" spans="1:16" ht="15" x14ac:dyDescent="0.2">
      <c r="A85" s="4">
        <v>70</v>
      </c>
      <c r="B85" s="62">
        <v>46079</v>
      </c>
      <c r="C85" s="9">
        <f>$E$5*(1+'Nestlé India Limited'!B128/100)</f>
        <v>1972.0241132862302</v>
      </c>
      <c r="D85" s="9">
        <f>$E$6*(1+'Pidilite Industries Limited'!B128/100)</f>
        <v>3033.8</v>
      </c>
      <c r="E85" s="9">
        <f>$E$7*(1+'Divi''s Laboratories Limited'!B128/100)</f>
        <v>6474</v>
      </c>
      <c r="F85" s="9">
        <f>$E$8*(1+'Bosch Limited'!B128/100)</f>
        <v>36740.38481981503</v>
      </c>
      <c r="G85" s="9">
        <f>$E$9*(1+'UltraTech Cement Limited'!B128/100)</f>
        <v>12937</v>
      </c>
      <c r="I85" s="10">
        <f t="shared" si="11"/>
        <v>-3.408190522141813E-3</v>
      </c>
      <c r="J85" s="10">
        <f t="shared" si="7"/>
        <v>1.2804951874299163E-2</v>
      </c>
      <c r="K85" s="10">
        <f t="shared" si="8"/>
        <v>1.2199537446741923E-2</v>
      </c>
      <c r="L85" s="10">
        <f t="shared" si="9"/>
        <v>4.3584644557077739E-3</v>
      </c>
      <c r="M85" s="10">
        <f t="shared" si="10"/>
        <v>-8.0068177389998E-3</v>
      </c>
      <c r="N85" s="10">
        <f t="shared" si="12"/>
        <v>3.5895891031214491E-3</v>
      </c>
      <c r="P85" s="28">
        <f t="shared" si="13"/>
        <v>1794.7945515607246</v>
      </c>
    </row>
    <row r="86" spans="1:16" ht="15" x14ac:dyDescent="0.2">
      <c r="A86" s="4">
        <v>71</v>
      </c>
      <c r="B86" s="62">
        <v>46078</v>
      </c>
      <c r="C86" s="9">
        <f>$E$5*(1+'Nestlé India Limited'!B129/100)</f>
        <v>1978.7566134833228</v>
      </c>
      <c r="D86" s="9">
        <f>$E$6*(1+'Pidilite Industries Limited'!B129/100)</f>
        <v>2995.2</v>
      </c>
      <c r="E86" s="9">
        <f>$E$7*(1+'Divi''s Laboratories Limited'!B129/100)</f>
        <v>6395.5</v>
      </c>
      <c r="F86" s="9">
        <f>$E$8*(1+'Bosch Limited'!B129/100)</f>
        <v>36580.601616135333</v>
      </c>
      <c r="G86" s="9">
        <f>$E$9*(1+'UltraTech Cement Limited'!B129/100)</f>
        <v>13041</v>
      </c>
      <c r="I86" s="10">
        <f t="shared" si="11"/>
        <v>1.8541297526312121E-3</v>
      </c>
      <c r="J86" s="10">
        <f t="shared" si="7"/>
        <v>1.1483958181681511E-2</v>
      </c>
      <c r="K86" s="10">
        <f t="shared" si="8"/>
        <v>2.2133541281993224E-2</v>
      </c>
      <c r="L86" s="10">
        <f t="shared" si="9"/>
        <v>3.3116939089121562E-2</v>
      </c>
      <c r="M86" s="10">
        <f t="shared" si="10"/>
        <v>6.2305497506361628E-3</v>
      </c>
      <c r="N86" s="10">
        <f t="shared" si="12"/>
        <v>1.4963823611212734E-2</v>
      </c>
      <c r="P86" s="28">
        <f t="shared" si="13"/>
        <v>7481.9118056063671</v>
      </c>
    </row>
    <row r="87" spans="1:16" ht="15" x14ac:dyDescent="0.2">
      <c r="A87" s="4">
        <v>72</v>
      </c>
      <c r="B87" s="62">
        <v>46077</v>
      </c>
      <c r="C87" s="9">
        <f>$E$5*(1+'Nestlé India Limited'!B130/100)</f>
        <v>1975.0911411537952</v>
      </c>
      <c r="D87" s="9">
        <f>$E$6*(1+'Pidilite Industries Limited'!B130/100)</f>
        <v>2961</v>
      </c>
      <c r="E87" s="9">
        <f>$E$7*(1+'Divi''s Laboratories Limited'!B130/100)</f>
        <v>6255.5</v>
      </c>
      <c r="F87" s="9">
        <f>$E$8*(1+'Bosch Limited'!B130/100)</f>
        <v>35389.003996706168</v>
      </c>
      <c r="G87" s="9">
        <f>$E$9*(1+'UltraTech Cement Limited'!B130/100)</f>
        <v>12960</v>
      </c>
      <c r="I87" s="10">
        <f t="shared" si="11"/>
        <v>3.5285450075832198E-3</v>
      </c>
      <c r="J87" s="10">
        <f t="shared" si="7"/>
        <v>-3.3766672615278301E-4</v>
      </c>
      <c r="K87" s="10">
        <f t="shared" si="8"/>
        <v>-6.0562779741049726E-3</v>
      </c>
      <c r="L87" s="10">
        <f t="shared" si="9"/>
        <v>8.5391427309366769E-4</v>
      </c>
      <c r="M87" s="10">
        <f t="shared" si="10"/>
        <v>-1.2338064489284325E-3</v>
      </c>
      <c r="N87" s="10">
        <f t="shared" si="12"/>
        <v>-6.4905837370186014E-4</v>
      </c>
      <c r="P87" s="28">
        <f t="shared" si="13"/>
        <v>-324.52918685093005</v>
      </c>
    </row>
    <row r="88" spans="1:16" ht="15" x14ac:dyDescent="0.2">
      <c r="A88" s="4">
        <v>73</v>
      </c>
      <c r="B88" s="62">
        <v>46076</v>
      </c>
      <c r="C88" s="9">
        <f>$E$5*(1+'Nestlé India Limited'!B131/100)</f>
        <v>1968.1342242834655</v>
      </c>
      <c r="D88" s="9">
        <f>$E$6*(1+'Pidilite Industries Limited'!B131/100)</f>
        <v>2962</v>
      </c>
      <c r="E88" s="9">
        <f>$E$7*(1+'Divi''s Laboratories Limited'!B131/100)</f>
        <v>6293.5</v>
      </c>
      <c r="F88" s="9">
        <f>$E$8*(1+'Bosch Limited'!B131/100)</f>
        <v>35358.797719703805</v>
      </c>
      <c r="G88" s="9">
        <f>$E$9*(1+'UltraTech Cement Limited'!B131/100)</f>
        <v>12976</v>
      </c>
      <c r="I88" s="10">
        <f t="shared" si="11"/>
        <v>1.7019730059148929E-2</v>
      </c>
      <c r="J88" s="10">
        <f t="shared" si="7"/>
        <v>1.0930554532074362E-2</v>
      </c>
      <c r="K88" s="10">
        <f t="shared" si="8"/>
        <v>3.9731416152999604E-4</v>
      </c>
      <c r="L88" s="10">
        <f t="shared" si="9"/>
        <v>3.8871597820412983E-3</v>
      </c>
      <c r="M88" s="10">
        <f t="shared" si="10"/>
        <v>1.6316110539191481E-2</v>
      </c>
      <c r="N88" s="10">
        <f t="shared" si="12"/>
        <v>9.7101738147972148E-3</v>
      </c>
      <c r="P88" s="28">
        <f t="shared" si="13"/>
        <v>4855.0869073986078</v>
      </c>
    </row>
    <row r="89" spans="1:16" ht="15" x14ac:dyDescent="0.2">
      <c r="A89" s="4">
        <v>74</v>
      </c>
      <c r="B89" s="62">
        <v>46073</v>
      </c>
      <c r="C89" s="9">
        <f>$E$5*(1+'Nestlé India Limited'!B132/100)</f>
        <v>1934.9205566444741</v>
      </c>
      <c r="D89" s="9">
        <f>$E$6*(1+'Pidilite Industries Limited'!B132/100)</f>
        <v>2929.8</v>
      </c>
      <c r="E89" s="9">
        <f>$E$7*(1+'Divi''s Laboratories Limited'!B132/100)</f>
        <v>6291</v>
      </c>
      <c r="F89" s="9">
        <f>$E$8*(1+'Bosch Limited'!B132/100)</f>
        <v>35221.619213383492</v>
      </c>
      <c r="G89" s="9">
        <f>$E$9*(1+'UltraTech Cement Limited'!B132/100)</f>
        <v>12766</v>
      </c>
      <c r="I89" s="10">
        <f t="shared" si="11"/>
        <v>1.1509575689957113E-2</v>
      </c>
      <c r="J89" s="10">
        <f t="shared" si="7"/>
        <v>0</v>
      </c>
      <c r="K89" s="10">
        <f t="shared" si="8"/>
        <v>-1.032688656735568E-3</v>
      </c>
      <c r="L89" s="10">
        <f t="shared" si="9"/>
        <v>5.4772423322061821E-3</v>
      </c>
      <c r="M89" s="10">
        <f t="shared" si="10"/>
        <v>6.1287219413733258E-3</v>
      </c>
      <c r="N89" s="10">
        <f t="shared" si="12"/>
        <v>4.4165702613602111E-3</v>
      </c>
      <c r="P89" s="28">
        <f t="shared" si="13"/>
        <v>2208.2851306801053</v>
      </c>
    </row>
    <row r="90" spans="1:16" ht="15" x14ac:dyDescent="0.2">
      <c r="A90" s="4">
        <v>75</v>
      </c>
      <c r="B90" s="62">
        <v>46072</v>
      </c>
      <c r="C90" s="9">
        <f>$E$5*(1+'Nestlé India Limited'!B133/100)</f>
        <v>1912.7781115518137</v>
      </c>
      <c r="D90" s="9">
        <f>$E$6*(1+'Pidilite Industries Limited'!B133/100)</f>
        <v>2929.8</v>
      </c>
      <c r="E90" s="9">
        <f>$E$7*(1+'Divi''s Laboratories Limited'!B133/100)</f>
        <v>6297.5</v>
      </c>
      <c r="F90" s="9">
        <f>$E$8*(1+'Bosch Limited'!B133/100)</f>
        <v>35029.229233866805</v>
      </c>
      <c r="G90" s="9">
        <f>$E$9*(1+'UltraTech Cement Limited'!B133/100)</f>
        <v>12688</v>
      </c>
      <c r="I90" s="10">
        <f t="shared" si="11"/>
        <v>-1.6945943251517756E-2</v>
      </c>
      <c r="J90" s="10">
        <f t="shared" si="7"/>
        <v>-1.665351241761269E-2</v>
      </c>
      <c r="K90" s="10">
        <f t="shared" si="8"/>
        <v>2.2255791715659833E-3</v>
      </c>
      <c r="L90" s="10">
        <f t="shared" si="9"/>
        <v>-1.906923276849324E-2</v>
      </c>
      <c r="M90" s="10">
        <f t="shared" si="10"/>
        <v>-2.8284713838581992E-2</v>
      </c>
      <c r="N90" s="10">
        <f t="shared" si="12"/>
        <v>-1.5745564620927938E-2</v>
      </c>
      <c r="P90" s="28">
        <f t="shared" si="13"/>
        <v>-7872.7823104639692</v>
      </c>
    </row>
    <row r="91" spans="1:16" ht="15" x14ac:dyDescent="0.2">
      <c r="A91" s="4">
        <v>76</v>
      </c>
      <c r="B91" s="62">
        <v>46071</v>
      </c>
      <c r="C91" s="9">
        <f>$E$5*(1+'Nestlé India Limited'!B134/100)</f>
        <v>1945.4681402865865</v>
      </c>
      <c r="D91" s="9">
        <f>$E$6*(1+'Pidilite Industries Limited'!B134/100)</f>
        <v>2979</v>
      </c>
      <c r="E91" s="9">
        <f>$E$7*(1+'Divi''s Laboratories Limited'!B134/100)</f>
        <v>6283.5</v>
      </c>
      <c r="F91" s="9">
        <f>$E$8*(1+'Bosch Limited'!B134/100)</f>
        <v>35703.619375219154</v>
      </c>
      <c r="G91" s="9">
        <f>$E$9*(1+'UltraTech Cement Limited'!B134/100)</f>
        <v>13052</v>
      </c>
      <c r="I91" s="10">
        <f t="shared" si="11"/>
        <v>1.1291253327733519E-2</v>
      </c>
      <c r="J91" s="10">
        <f t="shared" si="7"/>
        <v>-4.0201059166657758E-3</v>
      </c>
      <c r="K91" s="10">
        <f t="shared" si="8"/>
        <v>1.539602217825348E-2</v>
      </c>
      <c r="L91" s="10">
        <f t="shared" si="9"/>
        <v>8.4666101974287932E-3</v>
      </c>
      <c r="M91" s="10">
        <f t="shared" si="10"/>
        <v>5.2235485187839817E-3</v>
      </c>
      <c r="N91" s="10">
        <f t="shared" si="12"/>
        <v>7.2714656611067999E-3</v>
      </c>
      <c r="P91" s="28">
        <f t="shared" si="13"/>
        <v>3635.7328305534002</v>
      </c>
    </row>
    <row r="92" spans="1:16" ht="15" x14ac:dyDescent="0.2">
      <c r="A92" s="4">
        <v>77</v>
      </c>
      <c r="B92" s="62">
        <v>46070</v>
      </c>
      <c r="C92" s="9">
        <f>$E$5*(1+'Nestlé India Limited'!B135/100)</f>
        <v>1923.6249174249076</v>
      </c>
      <c r="D92" s="9">
        <f>$E$6*(1+'Pidilite Industries Limited'!B135/100)</f>
        <v>2991</v>
      </c>
      <c r="E92" s="9">
        <f>$E$7*(1+'Divi''s Laboratories Limited'!B135/100)</f>
        <v>6187.5</v>
      </c>
      <c r="F92" s="9">
        <f>$E$8*(1+'Bosch Limited'!B135/100)</f>
        <v>35402.606823435708</v>
      </c>
      <c r="G92" s="9">
        <f>$E$9*(1+'UltraTech Cement Limited'!B135/100)</f>
        <v>12984.000000000002</v>
      </c>
      <c r="I92" s="10">
        <f t="shared" si="11"/>
        <v>-3.1061954697338364E-3</v>
      </c>
      <c r="J92" s="10">
        <f t="shared" si="7"/>
        <v>5.4982034714505619E-3</v>
      </c>
      <c r="K92" s="10">
        <f t="shared" si="8"/>
        <v>6.160350194480621E-3</v>
      </c>
      <c r="L92" s="10">
        <f t="shared" si="9"/>
        <v>-2.7071480825648581E-3</v>
      </c>
      <c r="M92" s="10">
        <f t="shared" si="10"/>
        <v>2.310803014327367E-4</v>
      </c>
      <c r="N92" s="10">
        <f t="shared" si="12"/>
        <v>1.2152580830130451E-3</v>
      </c>
      <c r="P92" s="28">
        <f t="shared" si="13"/>
        <v>607.62904150652253</v>
      </c>
    </row>
    <row r="93" spans="1:16" ht="15" x14ac:dyDescent="0.2">
      <c r="A93" s="4">
        <v>78</v>
      </c>
      <c r="B93" s="62">
        <v>46069</v>
      </c>
      <c r="C93" s="9">
        <f>$E$5*(1+'Nestlé India Limited'!B136/100)</f>
        <v>1929.6093620445458</v>
      </c>
      <c r="D93" s="9">
        <f>$E$6*(1+'Pidilite Industries Limited'!B136/100)</f>
        <v>2974.6</v>
      </c>
      <c r="E93" s="9">
        <f>$E$7*(1+'Divi''s Laboratories Limited'!B136/100)</f>
        <v>6149.5</v>
      </c>
      <c r="F93" s="9">
        <f>$E$8*(1+'Bosch Limited'!B136/100)</f>
        <v>35498.576766428305</v>
      </c>
      <c r="G93" s="9">
        <f>$E$9*(1+'UltraTech Cement Limited'!B136/100)</f>
        <v>12981</v>
      </c>
      <c r="I93" s="10">
        <f t="shared" si="11"/>
        <v>5.5981174850071539E-3</v>
      </c>
      <c r="J93" s="10">
        <f t="shared" si="7"/>
        <v>5.3933927003621956E-3</v>
      </c>
      <c r="K93" s="10">
        <f t="shared" si="8"/>
        <v>-3.0849188290541099E-3</v>
      </c>
      <c r="L93" s="10">
        <f t="shared" si="9"/>
        <v>-6.285990178650335E-3</v>
      </c>
      <c r="M93" s="10">
        <f t="shared" si="10"/>
        <v>1.3876042929517405E-3</v>
      </c>
      <c r="N93" s="10">
        <f t="shared" si="12"/>
        <v>6.0164109412332912E-4</v>
      </c>
      <c r="P93" s="28">
        <f t="shared" si="13"/>
        <v>300.82054706166457</v>
      </c>
    </row>
    <row r="94" spans="1:16" ht="15" x14ac:dyDescent="0.2">
      <c r="A94" s="4">
        <v>79</v>
      </c>
      <c r="B94" s="62">
        <v>46066</v>
      </c>
      <c r="C94" s="9">
        <f>$E$5*(1+'Nestlé India Limited'!B137/100)</f>
        <v>1918.8373617291973</v>
      </c>
      <c r="D94" s="9">
        <f>$E$6*(1+'Pidilite Industries Limited'!B137/100)</f>
        <v>2958.6</v>
      </c>
      <c r="E94" s="9">
        <f>$E$7*(1+'Divi''s Laboratories Limited'!B137/100)</f>
        <v>6168.5</v>
      </c>
      <c r="F94" s="9">
        <f>$E$8*(1+'Bosch Limited'!B137/100)</f>
        <v>35722.423282757045</v>
      </c>
      <c r="G94" s="9">
        <f>$E$9*(1+'UltraTech Cement Limited'!B137/100)</f>
        <v>12962.999999999998</v>
      </c>
      <c r="I94" s="10">
        <f t="shared" si="11"/>
        <v>-1.7429382533729564E-2</v>
      </c>
      <c r="J94" s="10">
        <f t="shared" si="7"/>
        <v>-1.2161267898394827E-2</v>
      </c>
      <c r="K94" s="10">
        <f t="shared" si="8"/>
        <v>-2.6713093150689902E-3</v>
      </c>
      <c r="L94" s="10">
        <f t="shared" si="9"/>
        <v>-2.1135829152747497E-2</v>
      </c>
      <c r="M94" s="10">
        <f t="shared" si="10"/>
        <v>-5.0784966028888379E-3</v>
      </c>
      <c r="N94" s="10">
        <f t="shared" si="12"/>
        <v>-1.1695257100565943E-2</v>
      </c>
      <c r="P94" s="28">
        <f t="shared" si="13"/>
        <v>-5847.6285502829714</v>
      </c>
    </row>
    <row r="95" spans="1:16" ht="15" x14ac:dyDescent="0.2">
      <c r="A95" s="4">
        <v>80</v>
      </c>
      <c r="B95" s="62">
        <v>46065</v>
      </c>
      <c r="C95" s="9">
        <f>$E$5*(1+'Nestlé India Limited'!B138/100)</f>
        <v>1952.5746682724064</v>
      </c>
      <c r="D95" s="9">
        <f>$E$6*(1+'Pidilite Industries Limited'!B138/100)</f>
        <v>2994.8</v>
      </c>
      <c r="E95" s="9">
        <f>$E$7*(1+'Divi''s Laboratories Limited'!B138/100)</f>
        <v>6185</v>
      </c>
      <c r="F95" s="9">
        <f>$E$8*(1+'Bosch Limited'!B138/100)</f>
        <v>36485.481849813332</v>
      </c>
      <c r="G95" s="9">
        <f>$E$9*(1+'UltraTech Cement Limited'!B138/100)</f>
        <v>13029</v>
      </c>
      <c r="I95" s="10">
        <f t="shared" si="11"/>
        <v>3.8311974412152406E-5</v>
      </c>
      <c r="J95" s="10">
        <f t="shared" si="7"/>
        <v>1.1620617753441817E-2</v>
      </c>
      <c r="K95" s="10">
        <f t="shared" si="8"/>
        <v>-3.2059381656243273E-2</v>
      </c>
      <c r="L95" s="10">
        <f t="shared" si="9"/>
        <v>-2.5872598117890077E-3</v>
      </c>
      <c r="M95" s="10">
        <f t="shared" si="10"/>
        <v>4.6157478671900957E-3</v>
      </c>
      <c r="N95" s="10">
        <f t="shared" si="12"/>
        <v>-3.6743927745976433E-3</v>
      </c>
      <c r="P95" s="28">
        <f t="shared" si="13"/>
        <v>-1837.1963872988217</v>
      </c>
    </row>
    <row r="96" spans="1:16" ht="15" x14ac:dyDescent="0.2">
      <c r="A96" s="4">
        <v>81</v>
      </c>
      <c r="B96" s="62">
        <v>46064</v>
      </c>
      <c r="C96" s="9">
        <f>$E$5*(1+'Nestlé India Limited'!B139/100)</f>
        <v>1952.499862714661</v>
      </c>
      <c r="D96" s="9">
        <f>$E$6*(1+'Pidilite Industries Limited'!B139/100)</f>
        <v>2960.2</v>
      </c>
      <c r="E96" s="9">
        <f>$E$7*(1+'Divi''s Laboratories Limited'!B139/100)</f>
        <v>6386.5</v>
      </c>
      <c r="F96" s="9">
        <f>$E$8*(1+'Bosch Limited'!B139/100)</f>
        <v>36580.001491426679</v>
      </c>
      <c r="G96" s="9">
        <f>$E$9*(1+'UltraTech Cement Limited'!B139/100)</f>
        <v>12969</v>
      </c>
      <c r="I96" s="10">
        <f t="shared" si="11"/>
        <v>-2.4107923280426917E-3</v>
      </c>
      <c r="J96" s="10">
        <f t="shared" si="7"/>
        <v>8.11084870419569E-4</v>
      </c>
      <c r="K96" s="10">
        <f t="shared" si="8"/>
        <v>3.3596536604762486E-2</v>
      </c>
      <c r="L96" s="10">
        <f t="shared" si="9"/>
        <v>2.8726485284168785E-2</v>
      </c>
      <c r="M96" s="10">
        <f t="shared" si="10"/>
        <v>-4.1551306319616305E-3</v>
      </c>
      <c r="N96" s="10">
        <f t="shared" si="12"/>
        <v>1.1313636759869305E-2</v>
      </c>
      <c r="P96" s="28">
        <f t="shared" si="13"/>
        <v>5656.8183799346525</v>
      </c>
    </row>
    <row r="97" spans="1:16" ht="15" x14ac:dyDescent="0.2">
      <c r="A97" s="4">
        <v>82</v>
      </c>
      <c r="B97" s="62">
        <v>46063</v>
      </c>
      <c r="C97" s="9">
        <f>$E$5*(1+'Nestlé India Limited'!B140/100)</f>
        <v>1957.2126128526261</v>
      </c>
      <c r="D97" s="9">
        <f>$E$6*(1+'Pidilite Industries Limited'!B140/100)</f>
        <v>2957.8</v>
      </c>
      <c r="E97" s="9">
        <f>$E$7*(1+'Divi''s Laboratories Limited'!B140/100)</f>
        <v>6175.5</v>
      </c>
      <c r="F97" s="9">
        <f>$E$8*(1+'Bosch Limited'!B140/100)</f>
        <v>35544.136233893783</v>
      </c>
      <c r="G97" s="9">
        <f>$E$9*(1+'UltraTech Cement Limited'!B140/100)</f>
        <v>13022.999999999998</v>
      </c>
      <c r="I97" s="10">
        <f t="shared" si="11"/>
        <v>9.9098179909020197E-3</v>
      </c>
      <c r="J97" s="10">
        <f t="shared" si="7"/>
        <v>-6.268767790437414E-3</v>
      </c>
      <c r="K97" s="10">
        <f t="shared" si="8"/>
        <v>1.0090410293824337E-2</v>
      </c>
      <c r="L97" s="10">
        <f t="shared" si="9"/>
        <v>-3.1761644590880145E-3</v>
      </c>
      <c r="M97" s="10">
        <f t="shared" si="10"/>
        <v>-1.9178403331466609E-3</v>
      </c>
      <c r="N97" s="10">
        <f t="shared" si="12"/>
        <v>1.7274911404108534E-3</v>
      </c>
      <c r="P97" s="28">
        <f t="shared" si="13"/>
        <v>863.7455702054267</v>
      </c>
    </row>
    <row r="98" spans="1:16" ht="15" x14ac:dyDescent="0.2">
      <c r="A98" s="4">
        <v>83</v>
      </c>
      <c r="B98" s="62">
        <v>46062</v>
      </c>
      <c r="C98" s="9">
        <f>$E$5*(1+'Nestlé India Limited'!B141/100)</f>
        <v>1937.9127789542933</v>
      </c>
      <c r="D98" s="9">
        <f>$E$6*(1+'Pidilite Industries Limited'!B141/100)</f>
        <v>2976.4</v>
      </c>
      <c r="E98" s="9">
        <f>$E$7*(1+'Divi''s Laboratories Limited'!B141/100)</f>
        <v>6113.5</v>
      </c>
      <c r="F98" s="9">
        <f>$E$8*(1+'Bosch Limited'!B141/100)</f>
        <v>35657.20973108308</v>
      </c>
      <c r="G98" s="9">
        <f>$E$9*(1+'UltraTech Cement Limited'!B141/100)</f>
        <v>13048</v>
      </c>
      <c r="I98" s="10">
        <f t="shared" si="11"/>
        <v>-5.4279963117343987E-3</v>
      </c>
      <c r="J98" s="10">
        <f t="shared" si="7"/>
        <v>-6.0457463299844248E-4</v>
      </c>
      <c r="K98" s="10">
        <f t="shared" si="8"/>
        <v>1.4664952220913713E-2</v>
      </c>
      <c r="L98" s="10">
        <f t="shared" si="9"/>
        <v>-1.9755985130575332E-2</v>
      </c>
      <c r="M98" s="10">
        <f t="shared" si="10"/>
        <v>2.530208706210036E-2</v>
      </c>
      <c r="N98" s="10">
        <f t="shared" si="12"/>
        <v>2.83569664154118E-3</v>
      </c>
      <c r="P98" s="28">
        <f t="shared" si="13"/>
        <v>1417.8483207705899</v>
      </c>
    </row>
    <row r="99" spans="1:16" ht="15" x14ac:dyDescent="0.2">
      <c r="A99" s="4">
        <v>84</v>
      </c>
      <c r="B99" s="62">
        <v>46059</v>
      </c>
      <c r="C99" s="9">
        <f>$E$5*(1+'Nestlé India Limited'!B142/100)</f>
        <v>1948.4603625964053</v>
      </c>
      <c r="D99" s="9">
        <f>$E$6*(1+'Pidilite Industries Limited'!B142/100)</f>
        <v>2978.2</v>
      </c>
      <c r="E99" s="9">
        <f>$E$7*(1+'Divi''s Laboratories Limited'!B142/100)</f>
        <v>6024.5</v>
      </c>
      <c r="F99" s="9">
        <f>$E$8*(1+'Bosch Limited'!B142/100)</f>
        <v>36368.657573194934</v>
      </c>
      <c r="G99" s="9">
        <f>$E$9*(1+'UltraTech Cement Limited'!B142/100)</f>
        <v>12722</v>
      </c>
      <c r="I99" s="10">
        <f t="shared" si="11"/>
        <v>-8.4427052370842812E-4</v>
      </c>
      <c r="J99" s="10">
        <f t="shared" si="7"/>
        <v>1.3181655695243589E-2</v>
      </c>
      <c r="K99" s="10">
        <f t="shared" si="8"/>
        <v>-1.9234523615817983E-2</v>
      </c>
      <c r="L99" s="10">
        <f t="shared" si="9"/>
        <v>2.5361399575558872E-3</v>
      </c>
      <c r="M99" s="10">
        <f t="shared" si="10"/>
        <v>-4.0007898040273337E-3</v>
      </c>
      <c r="N99" s="10">
        <f t="shared" si="12"/>
        <v>-1.6723576581508539E-3</v>
      </c>
      <c r="P99" s="28">
        <f t="shared" si="13"/>
        <v>-836.17882907542696</v>
      </c>
    </row>
    <row r="100" spans="1:16" ht="15" x14ac:dyDescent="0.2">
      <c r="A100" s="4">
        <v>85</v>
      </c>
      <c r="B100" s="62">
        <v>46058</v>
      </c>
      <c r="C100" s="9">
        <f>$E$5*(1+'Nestlé India Limited'!B143/100)</f>
        <v>1950.1060848668062</v>
      </c>
      <c r="D100" s="9">
        <f>$E$6*(1+'Pidilite Industries Limited'!B143/100)</f>
        <v>2939.2</v>
      </c>
      <c r="E100" s="9">
        <f>$E$7*(1+'Divi''s Laboratories Limited'!B143/100)</f>
        <v>6141.5</v>
      </c>
      <c r="F100" s="9">
        <f>$E$8*(1+'Bosch Limited'!B143/100)</f>
        <v>36276.538430416214</v>
      </c>
      <c r="G100" s="9">
        <f>$E$9*(1+'UltraTech Cement Limited'!B143/100)</f>
        <v>12773</v>
      </c>
      <c r="I100" s="10">
        <f t="shared" si="11"/>
        <v>1.0362496369705437E-3</v>
      </c>
      <c r="J100" s="10">
        <f t="shared" si="7"/>
        <v>6.3483608544901106E-3</v>
      </c>
      <c r="K100" s="10">
        <f t="shared" si="8"/>
        <v>1.4267214784727993E-2</v>
      </c>
      <c r="L100" s="10">
        <f t="shared" si="9"/>
        <v>-1.1663498150200145E-2</v>
      </c>
      <c r="M100" s="10">
        <f t="shared" si="10"/>
        <v>-2.5802430359707037E-3</v>
      </c>
      <c r="N100" s="10">
        <f t="shared" si="12"/>
        <v>1.4816168180035597E-3</v>
      </c>
      <c r="P100" s="28">
        <f t="shared" si="13"/>
        <v>740.80840900177986</v>
      </c>
    </row>
    <row r="101" spans="1:16" ht="15" x14ac:dyDescent="0.2">
      <c r="A101" s="4">
        <v>86</v>
      </c>
      <c r="B101" s="62">
        <v>46057</v>
      </c>
      <c r="C101" s="9">
        <f>$E$5*(1+'Nestlé India Limited'!B144/100)</f>
        <v>1948.086334807678</v>
      </c>
      <c r="D101" s="9">
        <f>$E$6*(1+'Pidilite Industries Limited'!B144/100)</f>
        <v>2920.6</v>
      </c>
      <c r="E101" s="9">
        <f>$E$7*(1+'Divi''s Laboratories Limited'!B144/100)</f>
        <v>6054.5</v>
      </c>
      <c r="F101" s="9">
        <f>$E$8*(1+'Bosch Limited'!B144/100)</f>
        <v>36702.126869638203</v>
      </c>
      <c r="G101" s="9">
        <f>$E$9*(1+'UltraTech Cement Limited'!B144/100)</f>
        <v>12806</v>
      </c>
      <c r="I101" s="10">
        <f t="shared" si="11"/>
        <v>-5.3997259011989108E-3</v>
      </c>
      <c r="J101" s="10">
        <f t="shared" si="7"/>
        <v>2.2507095978065692E-2</v>
      </c>
      <c r="K101" s="10">
        <f t="shared" si="8"/>
        <v>-2.5198055170471873E-2</v>
      </c>
      <c r="L101" s="10">
        <f t="shared" si="9"/>
        <v>-2.7988990906171587E-2</v>
      </c>
      <c r="M101" s="10">
        <f t="shared" si="10"/>
        <v>1.7010963040354578E-2</v>
      </c>
      <c r="N101" s="10">
        <f t="shared" si="12"/>
        <v>-3.8137425918844201E-3</v>
      </c>
      <c r="P101" s="28">
        <f t="shared" si="13"/>
        <v>-1906.8712959422101</v>
      </c>
    </row>
    <row r="102" spans="1:16" ht="15" x14ac:dyDescent="0.2">
      <c r="A102" s="4">
        <v>87</v>
      </c>
      <c r="B102" s="62">
        <v>46056</v>
      </c>
      <c r="C102" s="9">
        <f>$E$5*(1+'Nestlé India Limited'!B145/100)</f>
        <v>1958.6339184497904</v>
      </c>
      <c r="D102" s="9">
        <f>$E$6*(1+'Pidilite Industries Limited'!B145/100)</f>
        <v>2855.6</v>
      </c>
      <c r="E102" s="9">
        <f>$E$7*(1+'Divi''s Laboratories Limited'!B145/100)</f>
        <v>6209</v>
      </c>
      <c r="F102" s="9">
        <f>$E$8*(1+'Bosch Limited'!B145/100)</f>
        <v>37743.893353472886</v>
      </c>
      <c r="G102" s="9">
        <f>$E$9*(1+'UltraTech Cement Limited'!B145/100)</f>
        <v>12590</v>
      </c>
      <c r="I102" s="10">
        <f t="shared" si="11"/>
        <v>1.1846757858260156E-3</v>
      </c>
      <c r="J102" s="10">
        <f t="shared" si="7"/>
        <v>1.1127659015172792E-2</v>
      </c>
      <c r="K102" s="10">
        <f t="shared" si="8"/>
        <v>4.2188553003875022E-2</v>
      </c>
      <c r="L102" s="10">
        <f t="shared" si="9"/>
        <v>3.0492496779054371E-2</v>
      </c>
      <c r="M102" s="10">
        <f t="shared" si="10"/>
        <v>4.3781164459990776E-3</v>
      </c>
      <c r="N102" s="10">
        <f t="shared" si="12"/>
        <v>1.7874300205985457E-2</v>
      </c>
      <c r="P102" s="28">
        <f t="shared" si="13"/>
        <v>8937.1501029927294</v>
      </c>
    </row>
    <row r="103" spans="1:16" ht="15" x14ac:dyDescent="0.2">
      <c r="A103" s="4">
        <v>88</v>
      </c>
      <c r="B103" s="62">
        <v>46055</v>
      </c>
      <c r="C103" s="9">
        <f>$E$5*(1+'Nestlé India Limited'!B146/100)</f>
        <v>1956.3149461596804</v>
      </c>
      <c r="D103" s="9">
        <f>$E$6*(1+'Pidilite Industries Limited'!B146/100)</f>
        <v>2824</v>
      </c>
      <c r="E103" s="9">
        <f>$E$7*(1+'Divi''s Laboratories Limited'!B146/100)</f>
        <v>5952.5</v>
      </c>
      <c r="F103" s="9">
        <f>$E$8*(1+'Bosch Limited'!B146/100)</f>
        <v>36610.357799606194</v>
      </c>
      <c r="G103" s="9">
        <f>$E$9*(1+'UltraTech Cement Limited'!B146/100)</f>
        <v>12535</v>
      </c>
      <c r="I103" s="10">
        <f t="shared" si="11"/>
        <v>2.3993102028098647E-2</v>
      </c>
      <c r="J103" s="10">
        <f t="shared" si="7"/>
        <v>-8.322214616585475E-3</v>
      </c>
      <c r="K103" s="10">
        <f t="shared" si="8"/>
        <v>-1.7238216756266894E-2</v>
      </c>
      <c r="L103" s="10">
        <f t="shared" si="9"/>
        <v>1.318251940243184E-2</v>
      </c>
      <c r="M103" s="10">
        <f t="shared" si="10"/>
        <v>2.02271290316808E-2</v>
      </c>
      <c r="N103" s="10">
        <f t="shared" si="12"/>
        <v>6.3684638178717837E-3</v>
      </c>
      <c r="P103" s="28">
        <f t="shared" si="13"/>
        <v>3184.2319089358921</v>
      </c>
    </row>
    <row r="104" spans="1:16" ht="15" x14ac:dyDescent="0.2">
      <c r="A104" s="4">
        <v>89</v>
      </c>
      <c r="B104" s="62">
        <v>46054</v>
      </c>
      <c r="C104" s="9">
        <f>$E$5*(1+'Nestlé India Limited'!B147/100)</f>
        <v>1909.9355003574854</v>
      </c>
      <c r="D104" s="9">
        <f>$E$6*(1+'Pidilite Industries Limited'!B147/100)</f>
        <v>2847.6</v>
      </c>
      <c r="E104" s="9">
        <f>$E$7*(1+'Divi''s Laboratories Limited'!B147/100)</f>
        <v>6056</v>
      </c>
      <c r="F104" s="9">
        <f>$E$8*(1+'Bosch Limited'!B147/100)</f>
        <v>36130.908167782327</v>
      </c>
      <c r="G104" s="9">
        <f>$E$9*(1+'UltraTech Cement Limited'!B147/100)</f>
        <v>12284</v>
      </c>
      <c r="I104" s="10">
        <f t="shared" si="11"/>
        <v>-4.206828009345371E-2</v>
      </c>
      <c r="J104" s="10">
        <f t="shared" si="7"/>
        <v>-5.1140256470571938E-3</v>
      </c>
      <c r="K104" s="10">
        <f t="shared" si="8"/>
        <v>8.2596849496317944E-4</v>
      </c>
      <c r="L104" s="10">
        <f t="shared" si="9"/>
        <v>-1.1652776269062503E-2</v>
      </c>
      <c r="M104" s="10">
        <f t="shared" si="10"/>
        <v>-3.2831838305702542E-2</v>
      </c>
      <c r="N104" s="10">
        <f t="shared" si="12"/>
        <v>-1.8168190364062552E-2</v>
      </c>
      <c r="P104" s="28">
        <f t="shared" si="13"/>
        <v>-9084.0951820312766</v>
      </c>
    </row>
    <row r="105" spans="1:16" ht="15" x14ac:dyDescent="0.2">
      <c r="A105" s="4">
        <v>90</v>
      </c>
      <c r="B105" s="62">
        <v>46052</v>
      </c>
      <c r="C105" s="9">
        <f>$E$5*(1+'Nestlé India Limited'!B148/100)</f>
        <v>1991.9971972042722</v>
      </c>
      <c r="D105" s="9">
        <f>$E$6*(1+'Pidilite Industries Limited'!B148/100)</f>
        <v>2862.2</v>
      </c>
      <c r="E105" s="9">
        <f>$E$7*(1+'Divi''s Laboratories Limited'!B148/100)</f>
        <v>6051</v>
      </c>
      <c r="F105" s="9">
        <f>$E$8*(1+'Bosch Limited'!B148/100)</f>
        <v>36554.396170524014</v>
      </c>
      <c r="G105" s="9">
        <f>$E$9*(1+'UltraTech Cement Limited'!B148/100)</f>
        <v>12694.000000000002</v>
      </c>
      <c r="I105" s="10">
        <f t="shared" si="11"/>
        <v>3.3372064469715954E-2</v>
      </c>
      <c r="J105" s="10">
        <f t="shared" si="7"/>
        <v>1.0486944716117743E-3</v>
      </c>
      <c r="K105" s="10">
        <f t="shared" si="8"/>
        <v>1.6539864835802352E-3</v>
      </c>
      <c r="L105" s="10">
        <f t="shared" si="9"/>
        <v>1.3811601753574335E-2</v>
      </c>
      <c r="M105" s="10">
        <f t="shared" si="10"/>
        <v>-1.8102401543313871E-3</v>
      </c>
      <c r="N105" s="10">
        <f t="shared" si="12"/>
        <v>9.6152214048301852E-3</v>
      </c>
      <c r="P105" s="28">
        <f t="shared" si="13"/>
        <v>4807.6107024150924</v>
      </c>
    </row>
    <row r="106" spans="1:16" ht="15" x14ac:dyDescent="0.2">
      <c r="A106" s="4">
        <v>91</v>
      </c>
      <c r="B106" s="62">
        <v>46051</v>
      </c>
      <c r="C106" s="9">
        <f>$E$5*(1+'Nestlé India Limited'!B149/100)</f>
        <v>1926.6171397347266</v>
      </c>
      <c r="D106" s="9">
        <f>$E$6*(1+'Pidilite Industries Limited'!B149/100)</f>
        <v>2859.2</v>
      </c>
      <c r="E106" s="9">
        <f>$E$7*(1+'Divi''s Laboratories Limited'!B149/100)</f>
        <v>6041</v>
      </c>
      <c r="F106" s="9">
        <f>$E$8*(1+'Bosch Limited'!B149/100)</f>
        <v>36052.991976441801</v>
      </c>
      <c r="G106" s="9">
        <f>$E$9*(1+'UltraTech Cement Limited'!B149/100)</f>
        <v>12717.000000000002</v>
      </c>
      <c r="I106" s="10">
        <f t="shared" si="11"/>
        <v>-3.8365448442074838E-3</v>
      </c>
      <c r="J106" s="10">
        <f t="shared" si="7"/>
        <v>-2.1521088011546747E-2</v>
      </c>
      <c r="K106" s="10">
        <f t="shared" si="8"/>
        <v>-2.4042371554215517E-2</v>
      </c>
      <c r="L106" s="10">
        <f t="shared" si="9"/>
        <v>-2.8063953215324389E-3</v>
      </c>
      <c r="M106" s="10">
        <f t="shared" si="10"/>
        <v>-3.9240357996038868E-3</v>
      </c>
      <c r="N106" s="10">
        <f t="shared" si="12"/>
        <v>-1.1226087106221215E-2</v>
      </c>
      <c r="P106" s="28">
        <f t="shared" si="13"/>
        <v>-5613.0435531106077</v>
      </c>
    </row>
    <row r="107" spans="1:16" ht="15" x14ac:dyDescent="0.2">
      <c r="A107" s="4">
        <v>92</v>
      </c>
      <c r="B107" s="62">
        <v>46050</v>
      </c>
      <c r="C107" s="9">
        <f>$E$5*(1+'Nestlé India Limited'!B150/100)</f>
        <v>1934.0228899515289</v>
      </c>
      <c r="D107" s="9">
        <f>$E$6*(1+'Pidilite Industries Limited'!B150/100)</f>
        <v>2921.4</v>
      </c>
      <c r="E107" s="9">
        <f>$E$7*(1+'Divi''s Laboratories Limited'!B150/100)</f>
        <v>6188</v>
      </c>
      <c r="F107" s="9">
        <f>$E$8*(1+'Bosch Limited'!B150/100)</f>
        <v>36154.313031419915</v>
      </c>
      <c r="G107" s="9">
        <f>$E$9*(1+'UltraTech Cement Limited'!B150/100)</f>
        <v>12767</v>
      </c>
      <c r="I107" s="10">
        <f t="shared" si="11"/>
        <v>-8.3582576142011353E-3</v>
      </c>
      <c r="J107" s="10">
        <f t="shared" si="7"/>
        <v>9.285117775679478E-3</v>
      </c>
      <c r="K107" s="10">
        <f t="shared" si="8"/>
        <v>2.1562416575671966E-2</v>
      </c>
      <c r="L107" s="10">
        <f t="shared" si="9"/>
        <v>2.155197374500719E-2</v>
      </c>
      <c r="M107" s="10">
        <f t="shared" si="10"/>
        <v>1.4040300054091783E-2</v>
      </c>
      <c r="N107" s="10">
        <f t="shared" si="12"/>
        <v>1.1616310107249856E-2</v>
      </c>
      <c r="P107" s="28">
        <f t="shared" si="13"/>
        <v>5808.1550536249279</v>
      </c>
    </row>
    <row r="108" spans="1:16" ht="15" x14ac:dyDescent="0.2">
      <c r="A108" s="4">
        <v>93</v>
      </c>
      <c r="B108" s="62">
        <v>46049</v>
      </c>
      <c r="C108" s="9">
        <f>$E$5*(1+'Nestlé India Limited'!B151/100)</f>
        <v>1950.2556959822969</v>
      </c>
      <c r="D108" s="9">
        <f>$E$6*(1+'Pidilite Industries Limited'!B151/100)</f>
        <v>2894.4</v>
      </c>
      <c r="E108" s="9">
        <f>$E$7*(1+'Divi''s Laboratories Limited'!B151/100)</f>
        <v>6056</v>
      </c>
      <c r="F108" s="9">
        <f>$E$8*(1+'Bosch Limited'!B151/100)</f>
        <v>35383.452843151099</v>
      </c>
      <c r="G108" s="9">
        <f>$E$9*(1+'UltraTech Cement Limited'!B151/100)</f>
        <v>12588.999999999998</v>
      </c>
      <c r="I108" s="10">
        <f t="shared" si="11"/>
        <v>7.8942204829047583E-3</v>
      </c>
      <c r="J108" s="10">
        <f t="shared" si="7"/>
        <v>-4.8357570629066265E-4</v>
      </c>
      <c r="K108" s="10">
        <f t="shared" si="8"/>
        <v>7.3752147023209251E-3</v>
      </c>
      <c r="L108" s="10">
        <f t="shared" si="9"/>
        <v>2.7457302771918264E-3</v>
      </c>
      <c r="M108" s="10">
        <f t="shared" si="10"/>
        <v>1.7630074391249324E-2</v>
      </c>
      <c r="N108" s="10">
        <f t="shared" si="12"/>
        <v>7.0323328294752338E-3</v>
      </c>
      <c r="P108" s="28">
        <f t="shared" si="13"/>
        <v>3516.1664147376168</v>
      </c>
    </row>
    <row r="109" spans="1:16" ht="15" x14ac:dyDescent="0.2">
      <c r="A109" s="4">
        <v>94</v>
      </c>
      <c r="B109" s="62">
        <v>46045</v>
      </c>
      <c r="C109" s="9">
        <f>$E$5*(1+'Nestlé India Limited'!B153/100)</f>
        <v>1934.9205566444741</v>
      </c>
      <c r="D109" s="9">
        <f>$E$6*(1+'Pidilite Industries Limited'!B153/100)</f>
        <v>2895.8</v>
      </c>
      <c r="E109" s="9">
        <f>$E$7*(1+'Divi''s Laboratories Limited'!B153/100)</f>
        <v>6011.5</v>
      </c>
      <c r="F109" s="9">
        <f>$E$8*(1+'Bosch Limited'!B153/100)</f>
        <v>35286.432681918355</v>
      </c>
      <c r="G109" s="9">
        <f>$E$9*(1+'UltraTech Cement Limited'!B153/100)</f>
        <v>12369.000000000002</v>
      </c>
      <c r="I109" s="10">
        <f t="shared" si="11"/>
        <v>-9.6953668051631692E-3</v>
      </c>
      <c r="J109" s="10">
        <f t="shared" si="7"/>
        <v>-3.3784980596527061E-3</v>
      </c>
      <c r="K109" s="10">
        <f t="shared" si="8"/>
        <v>-9.849034715470292E-3</v>
      </c>
      <c r="L109" s="10">
        <f t="shared" si="9"/>
        <v>-1.2579597136613963E-2</v>
      </c>
      <c r="M109" s="10">
        <f t="shared" si="10"/>
        <v>4.0431812300299763E-4</v>
      </c>
      <c r="N109" s="10">
        <f t="shared" si="12"/>
        <v>-7.0196357187794272E-3</v>
      </c>
      <c r="P109" s="28">
        <f t="shared" si="13"/>
        <v>-3509.8178593897137</v>
      </c>
    </row>
    <row r="110" spans="1:16" ht="15" x14ac:dyDescent="0.2">
      <c r="A110" s="4">
        <v>95</v>
      </c>
      <c r="B110" s="62">
        <v>46044</v>
      </c>
      <c r="C110" s="9">
        <f>$E$5*(1+'Nestlé India Limited'!B154/100)</f>
        <v>1953.7715571963345</v>
      </c>
      <c r="D110" s="9">
        <f>$E$6*(1+'Pidilite Industries Limited'!B154/100)</f>
        <v>2905.6</v>
      </c>
      <c r="E110" s="9">
        <f>$E$7*(1+'Divi''s Laboratories Limited'!B154/100)</f>
        <v>6071</v>
      </c>
      <c r="F110" s="9">
        <f>$E$8*(1+'Bosch Limited'!B154/100)</f>
        <v>35733.125506728073</v>
      </c>
      <c r="G110" s="9">
        <f>$E$9*(1+'UltraTech Cement Limited'!B154/100)</f>
        <v>12363.999999999998</v>
      </c>
      <c r="I110" s="10">
        <f t="shared" si="11"/>
        <v>1.8081160181437177E-2</v>
      </c>
      <c r="J110" s="10">
        <f t="shared" si="7"/>
        <v>2.1569054351646133E-2</v>
      </c>
      <c r="K110" s="10">
        <f t="shared" si="8"/>
        <v>1.0098587601180731E-2</v>
      </c>
      <c r="L110" s="10">
        <f t="shared" si="9"/>
        <v>1.6578614073933948E-2</v>
      </c>
      <c r="M110" s="10">
        <f t="shared" si="10"/>
        <v>1.0815311764643587E-2</v>
      </c>
      <c r="N110" s="10">
        <f t="shared" si="12"/>
        <v>1.5428545594568317E-2</v>
      </c>
      <c r="P110" s="28">
        <f t="shared" si="13"/>
        <v>7714.2727972841585</v>
      </c>
    </row>
    <row r="111" spans="1:16" ht="15" x14ac:dyDescent="0.2">
      <c r="A111" s="4">
        <v>96</v>
      </c>
      <c r="B111" s="62">
        <v>46043</v>
      </c>
      <c r="C111" s="9">
        <f>$E$5*(1+'Nestlé India Limited'!B155/100)</f>
        <v>1918.7625561714515</v>
      </c>
      <c r="D111" s="9">
        <f>$E$6*(1+'Pidilite Industries Limited'!B155/100)</f>
        <v>2843.6</v>
      </c>
      <c r="E111" s="9">
        <f>$E$7*(1+'Divi''s Laboratories Limited'!B155/100)</f>
        <v>6010</v>
      </c>
      <c r="F111" s="9">
        <f>$E$8*(1+'Bosch Limited'!B155/100)</f>
        <v>35145.603416953716</v>
      </c>
      <c r="G111" s="9">
        <f>$E$9*(1+'UltraTech Cement Limited'!B155/100)</f>
        <v>12231</v>
      </c>
      <c r="I111" s="10">
        <f t="shared" si="11"/>
        <v>-9.5835602640575029E-3</v>
      </c>
      <c r="J111" s="10">
        <f t="shared" si="7"/>
        <v>-9.3805378091490043E-3</v>
      </c>
      <c r="K111" s="10">
        <f t="shared" si="8"/>
        <v>-4.9904351031544649E-4</v>
      </c>
      <c r="L111" s="10">
        <f t="shared" si="9"/>
        <v>-1.0415625447728911E-2</v>
      </c>
      <c r="M111" s="10">
        <f t="shared" si="10"/>
        <v>1.4162443383770462E-2</v>
      </c>
      <c r="N111" s="10">
        <f t="shared" si="12"/>
        <v>-3.1432647294960801E-3</v>
      </c>
      <c r="P111" s="28">
        <f t="shared" si="13"/>
        <v>-1571.6323647480401</v>
      </c>
    </row>
    <row r="112" spans="1:16" ht="15" x14ac:dyDescent="0.2">
      <c r="A112" s="4">
        <v>97</v>
      </c>
      <c r="B112" s="62">
        <v>46042</v>
      </c>
      <c r="C112" s="9">
        <f>$E$5*(1+'Nestlé India Limited'!B156/100)</f>
        <v>1937.2395289345841</v>
      </c>
      <c r="D112" s="9">
        <f>$E$6*(1+'Pidilite Industries Limited'!B156/100)</f>
        <v>2870.4</v>
      </c>
      <c r="E112" s="9">
        <f>$E$7*(1+'Divi''s Laboratories Limited'!B156/100)</f>
        <v>6013</v>
      </c>
      <c r="F112" s="9">
        <f>$E$8*(1+'Bosch Limited'!B156/100)</f>
        <v>35513.579884144703</v>
      </c>
      <c r="G112" s="9">
        <f>$E$9*(1+'UltraTech Cement Limited'!B156/100)</f>
        <v>12059</v>
      </c>
      <c r="I112" s="10">
        <f t="shared" si="11"/>
        <v>-1.6049987342915416E-2</v>
      </c>
      <c r="J112" s="10">
        <f t="shared" si="7"/>
        <v>-2.7218175055457663E-2</v>
      </c>
      <c r="K112" s="10">
        <f t="shared" si="8"/>
        <v>-2.0900950101619502E-2</v>
      </c>
      <c r="L112" s="10">
        <f t="shared" si="9"/>
        <v>-2.5801937188135296E-2</v>
      </c>
      <c r="M112" s="10">
        <f t="shared" si="10"/>
        <v>-1.9544061068854847E-2</v>
      </c>
      <c r="N112" s="10">
        <f t="shared" si="12"/>
        <v>-2.1903022151396546E-2</v>
      </c>
      <c r="P112" s="28">
        <f t="shared" si="13"/>
        <v>-10951.511075698272</v>
      </c>
    </row>
    <row r="113" spans="1:16" ht="15" x14ac:dyDescent="0.2">
      <c r="A113" s="4">
        <v>98</v>
      </c>
      <c r="B113" s="62">
        <v>46041</v>
      </c>
      <c r="C113" s="9">
        <f>$E$5*(1+'Nestlé India Limited'!B157/100)</f>
        <v>1968.5830576299384</v>
      </c>
      <c r="D113" s="9">
        <f>$E$6*(1+'Pidilite Industries Limited'!B157/100)</f>
        <v>2949.6</v>
      </c>
      <c r="E113" s="9">
        <f>$E$7*(1+'Divi''s Laboratories Limited'!B157/100)</f>
        <v>6140</v>
      </c>
      <c r="F113" s="9">
        <f>$E$8*(1+'Bosch Limited'!B157/100)</f>
        <v>36441.822777258596</v>
      </c>
      <c r="G113" s="9">
        <f>$E$9*(1+'UltraTech Cement Limited'!B157/100)</f>
        <v>12297.000000000002</v>
      </c>
      <c r="I113" s="10">
        <f t="shared" si="11"/>
        <v>4.1808404098094085E-4</v>
      </c>
      <c r="J113" s="10">
        <f t="shared" si="7"/>
        <v>-1.2197602650757047E-3</v>
      </c>
      <c r="K113" s="10">
        <f t="shared" si="8"/>
        <v>-1.5514209036479019E-2</v>
      </c>
      <c r="L113" s="10">
        <f t="shared" si="9"/>
        <v>-1.0890346065981101E-2</v>
      </c>
      <c r="M113" s="10">
        <f t="shared" si="10"/>
        <v>-6.5653731268592299E-3</v>
      </c>
      <c r="N113" s="10">
        <f t="shared" si="12"/>
        <v>-6.7543208906828229E-3</v>
      </c>
      <c r="P113" s="28">
        <f t="shared" si="13"/>
        <v>-3377.1604453414116</v>
      </c>
    </row>
    <row r="114" spans="1:16" ht="15" x14ac:dyDescent="0.2">
      <c r="A114" s="4">
        <v>99</v>
      </c>
      <c r="B114" s="62">
        <v>46038</v>
      </c>
      <c r="C114" s="9">
        <f>$E$5*(1+'Nestlé India Limited'!B158/100)</f>
        <v>1967.7601964947382</v>
      </c>
      <c r="D114" s="9">
        <f>$E$6*(1+'Pidilite Industries Limited'!B158/100)</f>
        <v>2953.2</v>
      </c>
      <c r="E114" s="9">
        <f>$E$7*(1+'Divi''s Laboratories Limited'!B158/100)</f>
        <v>6236</v>
      </c>
      <c r="F114" s="9">
        <f>$E$8*(1+'Bosch Limited'!B158/100)</f>
        <v>36840.855698122541</v>
      </c>
      <c r="G114" s="9">
        <f>$E$9*(1+'UltraTech Cement Limited'!B158/100)</f>
        <v>12377.999999999998</v>
      </c>
      <c r="I114" s="10">
        <f t="shared" si="11"/>
        <v>5.9098446718385458E-3</v>
      </c>
      <c r="J114" s="10">
        <f t="shared" si="7"/>
        <v>-1.2584707964732883E-2</v>
      </c>
      <c r="K114" s="10">
        <f t="shared" si="8"/>
        <v>-1.8981628557056419E-2</v>
      </c>
      <c r="L114" s="10">
        <f t="shared" si="9"/>
        <v>-1.6547015677893954E-2</v>
      </c>
      <c r="M114" s="10">
        <f t="shared" si="10"/>
        <v>9.9866863370936185E-3</v>
      </c>
      <c r="N114" s="10">
        <f t="shared" si="12"/>
        <v>-6.4433642381502183E-3</v>
      </c>
      <c r="P114" s="28">
        <f t="shared" si="13"/>
        <v>-3221.6821190751093</v>
      </c>
    </row>
    <row r="115" spans="1:16" ht="15" x14ac:dyDescent="0.2">
      <c r="A115" s="4">
        <v>100</v>
      </c>
      <c r="B115" s="62">
        <v>46036</v>
      </c>
      <c r="C115" s="9">
        <f>$E$5*(1+'Nestlé India Limited'!B160/100)</f>
        <v>1956.1653350441895</v>
      </c>
      <c r="D115" s="9">
        <f>$E$6*(1+'Pidilite Industries Limited'!B160/100)</f>
        <v>2990.6</v>
      </c>
      <c r="E115" s="9">
        <f>$E$7*(1+'Divi''s Laboratories Limited'!B160/100)</f>
        <v>6355.5</v>
      </c>
      <c r="F115" s="9">
        <f>$E$8*(1+'Bosch Limited'!B160/100)</f>
        <v>37455.533430963602</v>
      </c>
      <c r="G115" s="9">
        <f>$E$9*(1+'UltraTech Cement Limited'!B160/100)</f>
        <v>12255.000000000002</v>
      </c>
      <c r="I115" s="10">
        <f t="shared" si="11"/>
        <v>-8.4915690262193835E-3</v>
      </c>
      <c r="J115" s="10">
        <f t="shared" si="7"/>
        <v>-2.4046501467521824E-3</v>
      </c>
      <c r="K115" s="10">
        <f t="shared" si="8"/>
        <v>-1.266433436496546E-2</v>
      </c>
      <c r="L115" s="10">
        <f t="shared" si="9"/>
        <v>-1.1274666333491416E-2</v>
      </c>
      <c r="M115" s="10">
        <f t="shared" si="10"/>
        <v>1.7367406360588492E-2</v>
      </c>
      <c r="N115" s="10">
        <f t="shared" si="12"/>
        <v>-3.4935627021679908E-3</v>
      </c>
      <c r="P115" s="28">
        <f t="shared" si="13"/>
        <v>-1746.7813510839953</v>
      </c>
    </row>
    <row r="116" spans="1:16" ht="15" x14ac:dyDescent="0.2">
      <c r="A116" s="4">
        <v>101</v>
      </c>
      <c r="B116" s="62">
        <v>46035</v>
      </c>
      <c r="C116" s="9">
        <f>$E$5*(1+'Nestlé India Limited'!B161/100)</f>
        <v>1972.8469744214308</v>
      </c>
      <c r="D116" s="9">
        <f>$E$6*(1+'Pidilite Industries Limited'!B161/100)</f>
        <v>2997.8</v>
      </c>
      <c r="E116" s="9">
        <f>$E$7*(1+'Divi''s Laboratories Limited'!B161/100)</f>
        <v>6436.5</v>
      </c>
      <c r="F116" s="9">
        <f>$E$8*(1+'Bosch Limited'!B161/100)</f>
        <v>37880.221683122596</v>
      </c>
      <c r="G116" s="9">
        <f>$E$9*(1+'UltraTech Cement Limited'!B161/100)</f>
        <v>12044.000000000002</v>
      </c>
      <c r="I116" s="10">
        <f t="shared" si="11"/>
        <v>6.1997422018363812E-3</v>
      </c>
      <c r="J116" s="10">
        <f t="shared" si="7"/>
        <v>-1.2667935154101089E-3</v>
      </c>
      <c r="K116" s="10">
        <f t="shared" si="8"/>
        <v>-7.5840016810387097E-3</v>
      </c>
      <c r="L116" s="10">
        <f t="shared" si="9"/>
        <v>5.6187881581128722E-3</v>
      </c>
      <c r="M116" s="10">
        <f t="shared" si="10"/>
        <v>-4.4735390652349124E-3</v>
      </c>
      <c r="N116" s="10">
        <f t="shared" si="12"/>
        <v>-3.0116078034689547E-4</v>
      </c>
      <c r="P116" s="28">
        <f t="shared" si="13"/>
        <v>-150.58039017344774</v>
      </c>
    </row>
    <row r="117" spans="1:16" ht="15" x14ac:dyDescent="0.2">
      <c r="A117" s="4">
        <v>102</v>
      </c>
      <c r="B117" s="62">
        <v>46034</v>
      </c>
      <c r="C117" s="9">
        <f>$E$5*(1+'Nestlé India Limited'!B162/100)</f>
        <v>1960.6536685089179</v>
      </c>
      <c r="D117" s="9">
        <f>$E$6*(1+'Pidilite Industries Limited'!B162/100)</f>
        <v>3001.6</v>
      </c>
      <c r="E117" s="9">
        <f>$E$7*(1+'Divi''s Laboratories Limited'!B162/100)</f>
        <v>6485.5</v>
      </c>
      <c r="F117" s="9">
        <f>$E$8*(1+'Bosch Limited'!B162/100)</f>
        <v>37667.977577827885</v>
      </c>
      <c r="G117" s="9">
        <f>$E$9*(1+'UltraTech Cement Limited'!B162/100)</f>
        <v>12098</v>
      </c>
      <c r="I117" s="10">
        <f t="shared" si="11"/>
        <v>8.8524979807008946E-3</v>
      </c>
      <c r="J117" s="10">
        <f t="shared" si="7"/>
        <v>1.1055018621241057E-2</v>
      </c>
      <c r="K117" s="10">
        <f t="shared" si="8"/>
        <v>-1.9997613432376288E-2</v>
      </c>
      <c r="L117" s="10">
        <f t="shared" si="9"/>
        <v>-9.0533879100744927E-3</v>
      </c>
      <c r="M117" s="10">
        <f t="shared" si="10"/>
        <v>1.3397329571821125E-2</v>
      </c>
      <c r="N117" s="10">
        <f t="shared" si="12"/>
        <v>8.5076896626245894E-4</v>
      </c>
      <c r="P117" s="28">
        <f t="shared" si="13"/>
        <v>425.38448313122944</v>
      </c>
    </row>
    <row r="118" spans="1:16" ht="15" x14ac:dyDescent="0.2">
      <c r="A118" s="4">
        <v>103</v>
      </c>
      <c r="B118" s="62">
        <v>46031</v>
      </c>
      <c r="C118" s="9">
        <f>$E$5*(1+'Nestlé India Limited'!B163/100)</f>
        <v>1943.3735846697132</v>
      </c>
      <c r="D118" s="9">
        <f>$E$6*(1+'Pidilite Industries Limited'!B163/100)</f>
        <v>2968.6</v>
      </c>
      <c r="E118" s="9">
        <f>$E$7*(1+'Divi''s Laboratories Limited'!B163/100)</f>
        <v>6616.5</v>
      </c>
      <c r="F118" s="9">
        <f>$E$8*(1+'Bosch Limited'!B163/100)</f>
        <v>38010.548765685766</v>
      </c>
      <c r="G118" s="9">
        <f>$E$9*(1+'UltraTech Cement Limited'!B163/100)</f>
        <v>11937.000000000002</v>
      </c>
      <c r="I118" s="10">
        <f t="shared" si="11"/>
        <v>-5.9486292123402265E-3</v>
      </c>
      <c r="J118" s="10">
        <f t="shared" si="7"/>
        <v>-1.1055018621240953E-2</v>
      </c>
      <c r="K118" s="10">
        <f t="shared" si="8"/>
        <v>2.4211254922897885E-3</v>
      </c>
      <c r="L118" s="10">
        <f t="shared" si="9"/>
        <v>-1.7004716590262491E-2</v>
      </c>
      <c r="M118" s="10">
        <f t="shared" si="10"/>
        <v>-1.0582991152698819E-2</v>
      </c>
      <c r="N118" s="10">
        <f t="shared" si="12"/>
        <v>-8.4340460168505407E-3</v>
      </c>
      <c r="P118" s="28">
        <f t="shared" si="13"/>
        <v>-4217.0230084252707</v>
      </c>
    </row>
    <row r="119" spans="1:16" ht="15" x14ac:dyDescent="0.2">
      <c r="A119" s="4">
        <v>104</v>
      </c>
      <c r="B119" s="62">
        <v>46030</v>
      </c>
      <c r="C119" s="9">
        <f>$E$5*(1+'Nestlé India Limited'!B164/100)</f>
        <v>1954.9684461202619</v>
      </c>
      <c r="D119" s="9">
        <f>$E$6*(1+'Pidilite Industries Limited'!B164/100)</f>
        <v>3001.6</v>
      </c>
      <c r="E119" s="9">
        <f>$E$7*(1+'Divi''s Laboratories Limited'!B164/100)</f>
        <v>6600.5</v>
      </c>
      <c r="F119" s="9">
        <f>$E$8*(1+'Bosch Limited'!B164/100)</f>
        <v>38662.434230463499</v>
      </c>
      <c r="G119" s="9">
        <f>$E$9*(1+'UltraTech Cement Limited'!B164/100)</f>
        <v>12064</v>
      </c>
      <c r="I119" s="10">
        <f t="shared" si="11"/>
        <v>-5.7993294928619758E-3</v>
      </c>
      <c r="J119" s="10">
        <f t="shared" si="7"/>
        <v>-9.2851177756795404E-3</v>
      </c>
      <c r="K119" s="10">
        <f t="shared" si="8"/>
        <v>-6.342994913154318E-3</v>
      </c>
      <c r="L119" s="10">
        <f t="shared" si="9"/>
        <v>-1.2554609375480152E-2</v>
      </c>
      <c r="M119" s="10">
        <f t="shared" si="10"/>
        <v>-9.8978043272604701E-3</v>
      </c>
      <c r="N119" s="10">
        <f t="shared" si="12"/>
        <v>-8.7759711768872917E-3</v>
      </c>
      <c r="P119" s="28">
        <f t="shared" si="13"/>
        <v>-4387.9855884436456</v>
      </c>
    </row>
    <row r="120" spans="1:16" ht="15" x14ac:dyDescent="0.2">
      <c r="A120" s="4">
        <v>105</v>
      </c>
      <c r="B120" s="62">
        <v>46029</v>
      </c>
      <c r="C120" s="9">
        <f>$E$5*(1+'Nestlé India Limited'!B165/100)</f>
        <v>1966.3388908975742</v>
      </c>
      <c r="D120" s="9">
        <f>$E$6*(1+'Pidilite Industries Limited'!B165/100)</f>
        <v>3029.6</v>
      </c>
      <c r="E120" s="9">
        <f>$E$7*(1+'Divi''s Laboratories Limited'!B165/100)</f>
        <v>6642.5</v>
      </c>
      <c r="F120" s="9">
        <f>$E$8*(1+'Bosch Limited'!B165/100)</f>
        <v>39150.88573291721</v>
      </c>
      <c r="G120" s="9">
        <f>$E$9*(1+'UltraTech Cement Limited'!B165/100)</f>
        <v>12184</v>
      </c>
      <c r="I120" s="10">
        <f t="shared" si="11"/>
        <v>-3.9865648788307232E-3</v>
      </c>
      <c r="J120" s="10">
        <f t="shared" si="7"/>
        <v>6.4905188446637051E-3</v>
      </c>
      <c r="K120" s="10">
        <f t="shared" si="8"/>
        <v>0</v>
      </c>
      <c r="L120" s="10">
        <f t="shared" si="9"/>
        <v>4.6296912462228416E-3</v>
      </c>
      <c r="M120" s="10">
        <f t="shared" si="10"/>
        <v>-1.6401512615626323E-3</v>
      </c>
      <c r="N120" s="10">
        <f t="shared" si="12"/>
        <v>1.0986987900986384E-3</v>
      </c>
      <c r="P120" s="28">
        <f t="shared" si="13"/>
        <v>549.34939504931924</v>
      </c>
    </row>
    <row r="121" spans="1:16" ht="15" x14ac:dyDescent="0.2">
      <c r="A121" s="4">
        <v>106</v>
      </c>
      <c r="B121" s="62">
        <v>46028</v>
      </c>
      <c r="C121" s="9">
        <f>$E$5*(1+'Nestlé India Limited'!B166/100)</f>
        <v>1974.1934744608491</v>
      </c>
      <c r="D121" s="9">
        <f>$E$6*(1+'Pidilite Industries Limited'!B166/100)</f>
        <v>3010</v>
      </c>
      <c r="E121" s="9">
        <f>$E$7*(1+'Divi''s Laboratories Limited'!B166/100)</f>
        <v>6642.5</v>
      </c>
      <c r="F121" s="9">
        <f>$E$8*(1+'Bosch Limited'!B166/100)</f>
        <v>38970.048154042161</v>
      </c>
      <c r="G121" s="9">
        <f>$E$9*(1+'UltraTech Cement Limited'!B166/100)</f>
        <v>12204.000000000002</v>
      </c>
      <c r="I121" s="10">
        <f t="shared" si="11"/>
        <v>4.062653903025534E-3</v>
      </c>
      <c r="J121" s="10">
        <f t="shared" si="7"/>
        <v>0</v>
      </c>
      <c r="K121" s="10">
        <f t="shared" si="8"/>
        <v>4.290985820186672E-2</v>
      </c>
      <c r="L121" s="10">
        <f t="shared" si="9"/>
        <v>-5.8335316804296166E-3</v>
      </c>
      <c r="M121" s="10">
        <f t="shared" si="10"/>
        <v>9.6332719771035236E-3</v>
      </c>
      <c r="N121" s="10">
        <f t="shared" si="12"/>
        <v>1.0154450480313233E-2</v>
      </c>
      <c r="P121" s="28">
        <f t="shared" si="13"/>
        <v>5077.2252401566166</v>
      </c>
    </row>
    <row r="122" spans="1:16" ht="15" x14ac:dyDescent="0.2">
      <c r="A122" s="4">
        <v>107</v>
      </c>
      <c r="B122" s="62">
        <v>46027</v>
      </c>
      <c r="C122" s="9">
        <f>$E$5*(1+'Nestlé India Limited'!B167/100)</f>
        <v>1966.1892797820835</v>
      </c>
      <c r="D122" s="9">
        <f>$E$6*(1+'Pidilite Industries Limited'!B167/100)</f>
        <v>3010</v>
      </c>
      <c r="E122" s="9">
        <f>$E$7*(1+'Divi''s Laboratories Limited'!B167/100)</f>
        <v>6363.5</v>
      </c>
      <c r="F122" s="9">
        <f>$E$8*(1+'Bosch Limited'!B167/100)</f>
        <v>39198.045532939112</v>
      </c>
      <c r="G122" s="9">
        <f>$E$9*(1+'UltraTech Cement Limited'!B167/100)</f>
        <v>12087</v>
      </c>
      <c r="I122" s="10">
        <f t="shared" si="11"/>
        <v>2.6680586388404651E-2</v>
      </c>
      <c r="J122" s="10">
        <f t="shared" si="7"/>
        <v>1.796776683218973E-2</v>
      </c>
      <c r="K122" s="10">
        <f t="shared" si="8"/>
        <v>-4.5468877332398251E-3</v>
      </c>
      <c r="L122" s="10">
        <f t="shared" si="9"/>
        <v>-7.4017494193614232E-3</v>
      </c>
      <c r="M122" s="10">
        <f t="shared" si="10"/>
        <v>1.5676131904303524E-2</v>
      </c>
      <c r="N122" s="10">
        <f t="shared" si="12"/>
        <v>9.6751695944593315E-3</v>
      </c>
      <c r="P122" s="28">
        <f t="shared" si="13"/>
        <v>4837.584797229666</v>
      </c>
    </row>
    <row r="123" spans="1:16" ht="15" x14ac:dyDescent="0.2">
      <c r="A123" s="4">
        <v>108</v>
      </c>
      <c r="B123" s="62">
        <v>46024</v>
      </c>
      <c r="C123" s="9">
        <f>$E$5*(1+'Nestlé India Limited'!B168/100)</f>
        <v>1914.423833822214</v>
      </c>
      <c r="D123" s="9">
        <f>$E$6*(1+'Pidilite Industries Limited'!B168/100)</f>
        <v>2956.4</v>
      </c>
      <c r="E123" s="9">
        <f>$E$7*(1+'Divi''s Laboratories Limited'!B168/100)</f>
        <v>6392.5</v>
      </c>
      <c r="F123" s="9">
        <f>$E$8*(1+'Bosch Limited'!B168/100)</f>
        <v>39489.25604781451</v>
      </c>
      <c r="G123" s="9">
        <f>$E$9*(1+'UltraTech Cement Limited'!B168/100)</f>
        <v>11899</v>
      </c>
      <c r="I123" s="10">
        <f t="shared" si="11"/>
        <v>-1.1770097228638076E-2</v>
      </c>
      <c r="J123" s="10">
        <f t="shared" si="7"/>
        <v>6.0390344688857379E-3</v>
      </c>
      <c r="K123" s="10">
        <f t="shared" si="8"/>
        <v>7.6159438506576685E-3</v>
      </c>
      <c r="L123" s="10">
        <f t="shared" si="9"/>
        <v>8.8318150397902237E-2</v>
      </c>
      <c r="M123" s="10">
        <f t="shared" si="10"/>
        <v>-1.6806722728633004E-4</v>
      </c>
      <c r="N123" s="10">
        <f t="shared" si="12"/>
        <v>1.8006992852304251E-2</v>
      </c>
      <c r="P123" s="28">
        <f t="shared" si="13"/>
        <v>9003.4964261521254</v>
      </c>
    </row>
    <row r="124" spans="1:16" ht="15" x14ac:dyDescent="0.2">
      <c r="A124" s="4">
        <v>109</v>
      </c>
      <c r="B124" s="62">
        <v>46023</v>
      </c>
      <c r="C124" s="9">
        <f>$E$5*(1+'Nestlé India Limited'!B169/100)</f>
        <v>1937.0899178190934</v>
      </c>
      <c r="D124" s="9">
        <f>$E$6*(1+'Pidilite Industries Limited'!B169/100)</f>
        <v>2938.6</v>
      </c>
      <c r="E124" s="9">
        <f>$E$7*(1+'Divi''s Laboratories Limited'!B169/100)</f>
        <v>6344</v>
      </c>
      <c r="F124" s="9">
        <f>$E$8*(1+'Bosch Limited'!B169/100)</f>
        <v>36151.212387091859</v>
      </c>
      <c r="G124" s="9">
        <f>$E$9*(1+'UltraTech Cement Limited'!B169/100)</f>
        <v>11901</v>
      </c>
      <c r="I124" s="10">
        <f t="shared" si="11"/>
        <v>5.2658192689891995E-3</v>
      </c>
      <c r="J124" s="10">
        <f t="shared" si="7"/>
        <v>-8.8762990892494696E-3</v>
      </c>
      <c r="K124" s="10">
        <f t="shared" si="8"/>
        <v>-7.6159438506578029E-3</v>
      </c>
      <c r="L124" s="10">
        <f t="shared" si="9"/>
        <v>2.586087136706456E-3</v>
      </c>
      <c r="M124" s="10">
        <f t="shared" si="10"/>
        <v>9.8797510399734161E-3</v>
      </c>
      <c r="N124" s="10">
        <f t="shared" si="12"/>
        <v>2.4788290115235938E-4</v>
      </c>
      <c r="P124" s="28">
        <f t="shared" si="13"/>
        <v>123.94145057617969</v>
      </c>
    </row>
    <row r="125" spans="1:16" ht="15" x14ac:dyDescent="0.2">
      <c r="A125" s="4">
        <v>110</v>
      </c>
      <c r="B125" s="62">
        <v>46022</v>
      </c>
      <c r="C125" s="9">
        <f>$E$5*(1+'Nestlé India Limited'!B170/100)</f>
        <v>1926.9163619657086</v>
      </c>
      <c r="D125" s="9">
        <f>$E$6*(1+'Pidilite Industries Limited'!B170/100)</f>
        <v>2964.8</v>
      </c>
      <c r="E125" s="9">
        <f>$E$7*(1+'Divi''s Laboratories Limited'!B170/100)</f>
        <v>6392.5</v>
      </c>
      <c r="F125" s="9">
        <f>$E$8*(1+'Bosch Limited'!B170/100)</f>
        <v>36057.842984503441</v>
      </c>
      <c r="G125" s="9">
        <f>$E$9*(1+'UltraTech Cement Limited'!B170/100)</f>
        <v>11784.000000000002</v>
      </c>
      <c r="I125" s="10">
        <f t="shared" si="11"/>
        <v>1.0968745919270511E-2</v>
      </c>
      <c r="J125" s="10">
        <f t="shared" si="7"/>
        <v>2.1478342449510635E-2</v>
      </c>
      <c r="K125" s="10">
        <f t="shared" si="8"/>
        <v>5.0184375690761618E-3</v>
      </c>
      <c r="L125" s="10">
        <f t="shared" si="9"/>
        <v>1.3474432482698638E-2</v>
      </c>
      <c r="M125" s="10">
        <f t="shared" si="10"/>
        <v>6.7265782174551472E-3</v>
      </c>
      <c r="N125" s="10">
        <f t="shared" si="12"/>
        <v>1.1533307327602219E-2</v>
      </c>
      <c r="P125" s="28">
        <f t="shared" si="13"/>
        <v>5766.6536638011094</v>
      </c>
    </row>
    <row r="126" spans="1:16" ht="15" x14ac:dyDescent="0.2">
      <c r="A126" s="4">
        <v>111</v>
      </c>
      <c r="B126" s="62">
        <v>46021</v>
      </c>
      <c r="C126" s="9">
        <f>$E$5*(1+'Nestlé India Limited'!B171/100)</f>
        <v>1905.89600023923</v>
      </c>
      <c r="D126" s="9">
        <f>$E$6*(1+'Pidilite Industries Limited'!B171/100)</f>
        <v>2901.8</v>
      </c>
      <c r="E126" s="9">
        <f>$E$7*(1+'Divi''s Laboratories Limited'!B171/100)</f>
        <v>6360.5</v>
      </c>
      <c r="F126" s="9">
        <f>$E$8*(1+'Bosch Limited'!B171/100)</f>
        <v>35575.242697959126</v>
      </c>
      <c r="G126" s="9">
        <f>$E$9*(1+'UltraTech Cement Limited'!B171/100)</f>
        <v>11705.000000000002</v>
      </c>
      <c r="I126" s="10">
        <f t="shared" si="11"/>
        <v>-4.7770167979215546E-3</v>
      </c>
      <c r="J126" s="10">
        <f t="shared" si="7"/>
        <v>-1.3086753253893331E-3</v>
      </c>
      <c r="K126" s="10">
        <f t="shared" si="8"/>
        <v>-4.7055219755033966E-3</v>
      </c>
      <c r="L126" s="10">
        <f t="shared" si="9"/>
        <v>-2.1428980845234914E-3</v>
      </c>
      <c r="M126" s="10">
        <f t="shared" si="10"/>
        <v>-7.9986811749078839E-3</v>
      </c>
      <c r="N126" s="10">
        <f t="shared" si="12"/>
        <v>-4.1865586716491321E-3</v>
      </c>
      <c r="P126" s="28">
        <f t="shared" si="13"/>
        <v>-2093.2793358245663</v>
      </c>
    </row>
    <row r="127" spans="1:16" ht="15" x14ac:dyDescent="0.2">
      <c r="A127" s="4">
        <v>112</v>
      </c>
      <c r="B127" s="62">
        <v>46020</v>
      </c>
      <c r="C127" s="9">
        <f>$E$5*(1+'Nestlé India Limited'!B172/100)</f>
        <v>1915.0222782841779</v>
      </c>
      <c r="D127" s="9">
        <f>$E$6*(1+'Pidilite Industries Limited'!B172/100)</f>
        <v>2905.6</v>
      </c>
      <c r="E127" s="9">
        <f>$E$7*(1+'Divi''s Laboratories Limited'!B172/100)</f>
        <v>6390.5</v>
      </c>
      <c r="F127" s="9">
        <f>$E$8*(1+'Bosch Limited'!B172/100)</f>
        <v>35651.558556743235</v>
      </c>
      <c r="G127" s="9">
        <f>$E$9*(1+'UltraTech Cement Limited'!B172/100)</f>
        <v>11799</v>
      </c>
      <c r="I127" s="10">
        <f t="shared" si="11"/>
        <v>6.6234491911387446E-3</v>
      </c>
      <c r="J127" s="10">
        <f t="shared" si="7"/>
        <v>-3.9843427031038253E-3</v>
      </c>
      <c r="K127" s="10">
        <f t="shared" si="8"/>
        <v>-5.7731475682754295E-3</v>
      </c>
      <c r="L127" s="10">
        <f t="shared" si="9"/>
        <v>-5.2632878609378706E-3</v>
      </c>
      <c r="M127" s="10">
        <f t="shared" si="10"/>
        <v>4.238545394697056E-4</v>
      </c>
      <c r="N127" s="10">
        <f t="shared" si="12"/>
        <v>-1.5946948803417355E-3</v>
      </c>
      <c r="P127" s="28">
        <f t="shared" si="13"/>
        <v>-797.3474401708678</v>
      </c>
    </row>
    <row r="128" spans="1:16" ht="15" x14ac:dyDescent="0.2">
      <c r="A128" s="4">
        <v>113</v>
      </c>
      <c r="B128" s="62">
        <v>46017</v>
      </c>
      <c r="C128" s="9">
        <f>$E$5*(1+'Nestlé India Limited'!B173/100)</f>
        <v>1902.3801390251924</v>
      </c>
      <c r="D128" s="9">
        <f>$E$6*(1+'Pidilite Industries Limited'!B173/100)</f>
        <v>2917.2</v>
      </c>
      <c r="E128" s="9">
        <f>$E$7*(1+'Divi''s Laboratories Limited'!B173/100)</f>
        <v>6427.5</v>
      </c>
      <c r="F128" s="9">
        <f>$E$8*(1+'Bosch Limited'!B173/100)</f>
        <v>35839.697652906936</v>
      </c>
      <c r="G128" s="9">
        <f>$E$9*(1+'UltraTech Cement Limited'!B173/100)</f>
        <v>11794</v>
      </c>
      <c r="I128" s="10">
        <f t="shared" si="11"/>
        <v>1.0038022952500267E-2</v>
      </c>
      <c r="J128" s="10">
        <f t="shared" si="7"/>
        <v>8.2610961349523851E-3</v>
      </c>
      <c r="K128" s="10">
        <f t="shared" si="8"/>
        <v>-1.0677910182746544E-2</v>
      </c>
      <c r="L128" s="10">
        <f t="shared" si="9"/>
        <v>-1.0013259626693556E-2</v>
      </c>
      <c r="M128" s="10">
        <f t="shared" si="10"/>
        <v>2.5469068865637359E-3</v>
      </c>
      <c r="N128" s="10">
        <f t="shared" si="12"/>
        <v>3.097123291525769E-5</v>
      </c>
      <c r="P128" s="28">
        <f t="shared" si="13"/>
        <v>15.485616457628845</v>
      </c>
    </row>
    <row r="129" spans="1:16" ht="15" x14ac:dyDescent="0.2">
      <c r="A129" s="4">
        <v>114</v>
      </c>
      <c r="B129" s="62">
        <v>46015</v>
      </c>
      <c r="C129" s="9">
        <f>$E$5*(1+'Nestlé India Limited'!B175/100)</f>
        <v>1883.3795273578417</v>
      </c>
      <c r="D129" s="9">
        <f>$E$6*(1+'Pidilite Industries Limited'!B175/100)</f>
        <v>2893.2</v>
      </c>
      <c r="E129" s="9">
        <f>$E$7*(1+'Divi''s Laboratories Limited'!B175/100)</f>
        <v>6496.5</v>
      </c>
      <c r="F129" s="9">
        <f>$E$8*(1+'Bosch Limited'!B175/100)</f>
        <v>36200.372602809279</v>
      </c>
      <c r="G129" s="9">
        <f>$E$9*(1+'UltraTech Cement Limited'!B175/100)</f>
        <v>11764</v>
      </c>
      <c r="I129" s="10">
        <f t="shared" si="11"/>
        <v>3.1028746352489045E-3</v>
      </c>
      <c r="J129" s="10">
        <f t="shared" si="7"/>
        <v>-1.0657783008211862E-2</v>
      </c>
      <c r="K129" s="10">
        <f t="shared" si="8"/>
        <v>3.0833293524804295E-3</v>
      </c>
      <c r="L129" s="10">
        <f t="shared" si="9"/>
        <v>-3.1957964650161149E-3</v>
      </c>
      <c r="M129" s="10">
        <f t="shared" si="10"/>
        <v>7.3372908304028201E-3</v>
      </c>
      <c r="N129" s="10">
        <f t="shared" si="12"/>
        <v>-6.6016931019164445E-5</v>
      </c>
      <c r="P129" s="28">
        <f t="shared" si="13"/>
        <v>-33.008465509582223</v>
      </c>
    </row>
    <row r="130" spans="1:16" ht="15" x14ac:dyDescent="0.2">
      <c r="A130" s="4">
        <v>115</v>
      </c>
      <c r="B130" s="62">
        <v>46014</v>
      </c>
      <c r="C130" s="9">
        <f>$E$5*(1+'Nestlé India Limited'!B176/100)</f>
        <v>1877.5446938536948</v>
      </c>
      <c r="D130" s="9">
        <f>$E$6*(1+'Pidilite Industries Limited'!B176/100)</f>
        <v>2924.2</v>
      </c>
      <c r="E130" s="9">
        <f>$E$7*(1+'Divi''s Laboratories Limited'!B176/100)</f>
        <v>6476.5</v>
      </c>
      <c r="F130" s="9">
        <f>$E$8*(1+'Bosch Limited'!B176/100)</f>
        <v>36316.246681972298</v>
      </c>
      <c r="G130" s="9">
        <f>$E$9*(1+'UltraTech Cement Limited'!B176/100)</f>
        <v>11678</v>
      </c>
      <c r="I130" s="10">
        <f t="shared" si="11"/>
        <v>-1.7117497860103551E-3</v>
      </c>
      <c r="J130" s="10">
        <f t="shared" si="7"/>
        <v>1.9854181033252846E-3</v>
      </c>
      <c r="K130" s="10">
        <f t="shared" si="8"/>
        <v>-5.3896034374472171E-3</v>
      </c>
      <c r="L130" s="10">
        <f t="shared" si="9"/>
        <v>4.5381221521611547E-3</v>
      </c>
      <c r="M130" s="10">
        <f t="shared" si="10"/>
        <v>1.2580950085190097E-2</v>
      </c>
      <c r="N130" s="10">
        <f t="shared" si="12"/>
        <v>2.4006274234437928E-3</v>
      </c>
      <c r="P130" s="28">
        <f t="shared" si="13"/>
        <v>1200.3137117218964</v>
      </c>
    </row>
    <row r="131" spans="1:16" ht="15" x14ac:dyDescent="0.2">
      <c r="A131" s="4">
        <v>116</v>
      </c>
      <c r="B131" s="62">
        <v>46013</v>
      </c>
      <c r="C131" s="9">
        <f>$E$5*(1+'Nestlé India Limited'!B177/100)</f>
        <v>1880.7613328367497</v>
      </c>
      <c r="D131" s="9">
        <f>$E$6*(1+'Pidilite Industries Limited'!B177/100)</f>
        <v>2918.4</v>
      </c>
      <c r="E131" s="9">
        <f>$E$7*(1+'Divi''s Laboratories Limited'!B177/100)</f>
        <v>6511.5</v>
      </c>
      <c r="F131" s="9">
        <f>$E$8*(1+'Bosch Limited'!B177/100)</f>
        <v>36151.812511800519</v>
      </c>
      <c r="G131" s="9">
        <f>$E$9*(1+'UltraTech Cement Limited'!B177/100)</f>
        <v>11532</v>
      </c>
      <c r="I131" s="10">
        <f t="shared" si="11"/>
        <v>1.0917706572986435E-2</v>
      </c>
      <c r="J131" s="10">
        <f t="shared" si="7"/>
        <v>6.1696660054747746E-4</v>
      </c>
      <c r="K131" s="10">
        <f t="shared" si="8"/>
        <v>5.080842338892365E-3</v>
      </c>
      <c r="L131" s="10">
        <f t="shared" si="9"/>
        <v>3.2519903263139196E-3</v>
      </c>
      <c r="M131" s="10">
        <f t="shared" si="10"/>
        <v>3.1266309994317011E-3</v>
      </c>
      <c r="N131" s="10">
        <f t="shared" si="12"/>
        <v>4.5988273676343802E-3</v>
      </c>
      <c r="P131" s="28">
        <f t="shared" si="13"/>
        <v>2299.4136838171903</v>
      </c>
    </row>
    <row r="132" spans="1:16" ht="15" x14ac:dyDescent="0.2">
      <c r="A132" s="4">
        <v>117</v>
      </c>
      <c r="B132" s="62">
        <v>46010</v>
      </c>
      <c r="C132" s="9">
        <f>$E$5*(1+'Nestlé India Limited'!B178/100)</f>
        <v>1860.3394155722353</v>
      </c>
      <c r="D132" s="9">
        <f>$E$6*(1+'Pidilite Industries Limited'!B178/100)</f>
        <v>2916.6</v>
      </c>
      <c r="E132" s="9">
        <f>$E$7*(1+'Divi''s Laboratories Limited'!B178/100)</f>
        <v>6478.5</v>
      </c>
      <c r="F132" s="9">
        <f>$E$8*(1+'Bosch Limited'!B178/100)</f>
        <v>36034.438120865845</v>
      </c>
      <c r="G132" s="9">
        <f>$E$9*(1+'UltraTech Cement Limited'!B178/100)</f>
        <v>11496.000000000002</v>
      </c>
      <c r="I132" s="10">
        <f t="shared" si="11"/>
        <v>7.8314626001074351E-3</v>
      </c>
      <c r="J132" s="10">
        <f t="shared" si="7"/>
        <v>4.6049773806042422E-3</v>
      </c>
      <c r="K132" s="10">
        <f t="shared" si="8"/>
        <v>1.5320904730029915E-2</v>
      </c>
      <c r="L132" s="10">
        <f t="shared" si="9"/>
        <v>7.6988187047785234E-3</v>
      </c>
      <c r="M132" s="10">
        <f t="shared" si="10"/>
        <v>3.0491812621619313E-3</v>
      </c>
      <c r="N132" s="10">
        <f t="shared" si="12"/>
        <v>7.7010689355364106E-3</v>
      </c>
      <c r="P132" s="28">
        <f t="shared" si="13"/>
        <v>3850.5344677682051</v>
      </c>
    </row>
    <row r="133" spans="1:16" ht="15" x14ac:dyDescent="0.2">
      <c r="A133" s="4">
        <v>118</v>
      </c>
      <c r="B133" s="62">
        <v>46009</v>
      </c>
      <c r="C133" s="9">
        <f>$E$5*(1+'Nestlé India Limited'!B179/100)</f>
        <v>1845.8271373696127</v>
      </c>
      <c r="D133" s="9">
        <f>$E$6*(1+'Pidilite Industries Limited'!B179/100)</f>
        <v>2903.2</v>
      </c>
      <c r="E133" s="9">
        <f>$E$7*(1+'Divi''s Laboratories Limited'!B179/100)</f>
        <v>6380</v>
      </c>
      <c r="F133" s="9">
        <f>$E$8*(1+'Bosch Limited'!B179/100)</f>
        <v>35758.0806925297</v>
      </c>
      <c r="G133" s="9">
        <f>$E$9*(1+'UltraTech Cement Limited'!B179/100)</f>
        <v>11460.999999999998</v>
      </c>
      <c r="I133" s="10">
        <f t="shared" si="11"/>
        <v>-1.012658314386269E-3</v>
      </c>
      <c r="J133" s="10">
        <f t="shared" si="7"/>
        <v>6.2019779405867597E-4</v>
      </c>
      <c r="K133" s="10">
        <f t="shared" si="8"/>
        <v>1.3730192811902037E-2</v>
      </c>
      <c r="L133" s="10">
        <f t="shared" si="9"/>
        <v>-5.8846420737618602E-3</v>
      </c>
      <c r="M133" s="10">
        <f t="shared" si="10"/>
        <v>-6.8692935653913547E-3</v>
      </c>
      <c r="N133" s="10">
        <f t="shared" si="12"/>
        <v>1.1675933048424579E-4</v>
      </c>
      <c r="P133" s="28">
        <f t="shared" si="13"/>
        <v>58.379665242122897</v>
      </c>
    </row>
    <row r="134" spans="1:16" ht="15" x14ac:dyDescent="0.2">
      <c r="A134" s="4">
        <v>119</v>
      </c>
      <c r="B134" s="62">
        <v>46008</v>
      </c>
      <c r="C134" s="9">
        <f>$E$5*(1+'Nestlé India Limited'!B180/100)</f>
        <v>1847.6972763132496</v>
      </c>
      <c r="D134" s="9">
        <f>$E$6*(1+'Pidilite Industries Limited'!B180/100)</f>
        <v>2901.4</v>
      </c>
      <c r="E134" s="9">
        <f>$E$7*(1+'Divi''s Laboratories Limited'!B180/100)</f>
        <v>6293</v>
      </c>
      <c r="F134" s="9">
        <f>$E$8*(1+'Bosch Limited'!B180/100)</f>
        <v>35969.124548407111</v>
      </c>
      <c r="G134" s="9">
        <f>$E$9*(1+'UltraTech Cement Limited'!B180/100)</f>
        <v>11539.999999999998</v>
      </c>
      <c r="I134" s="10">
        <f t="shared" si="11"/>
        <v>-4.000086143382829E-3</v>
      </c>
      <c r="J134" s="10">
        <f t="shared" si="7"/>
        <v>-1.5322825276036086E-2</v>
      </c>
      <c r="K134" s="10">
        <f t="shared" si="8"/>
        <v>-6.7308327120293825E-3</v>
      </c>
      <c r="L134" s="10">
        <f t="shared" si="9"/>
        <v>-6.0934636882221064E-3</v>
      </c>
      <c r="M134" s="10">
        <f t="shared" si="10"/>
        <v>1.0404023827324444E-3</v>
      </c>
      <c r="N134" s="10">
        <f t="shared" si="12"/>
        <v>-6.2213610873875919E-3</v>
      </c>
      <c r="P134" s="28">
        <f t="shared" si="13"/>
        <v>-3110.6805436937962</v>
      </c>
    </row>
    <row r="135" spans="1:16" ht="15" x14ac:dyDescent="0.2">
      <c r="A135" s="4">
        <v>120</v>
      </c>
      <c r="B135" s="62">
        <v>46007</v>
      </c>
      <c r="C135" s="9">
        <f>$E$5*(1+'Nestlé India Limited'!B181/100)</f>
        <v>1855.1030265300519</v>
      </c>
      <c r="D135" s="9">
        <f>$E$6*(1+'Pidilite Industries Limited'!B181/100)</f>
        <v>2946.2</v>
      </c>
      <c r="E135" s="9">
        <f>$E$7*(1+'Divi''s Laboratories Limited'!B181/100)</f>
        <v>6335.5</v>
      </c>
      <c r="F135" s="9">
        <f>$E$8*(1+'Bosch Limited'!B181/100)</f>
        <v>36188.9702333448</v>
      </c>
      <c r="G135" s="9">
        <f>$E$9*(1+'UltraTech Cement Limited'!B181/100)</f>
        <v>11528</v>
      </c>
      <c r="I135" s="10">
        <f t="shared" si="11"/>
        <v>-1.7726929423585679E-3</v>
      </c>
      <c r="J135" s="10">
        <f t="shared" si="7"/>
        <v>-4.2675763328747472E-3</v>
      </c>
      <c r="K135" s="10">
        <f t="shared" si="8"/>
        <v>-1.8922973398705315E-3</v>
      </c>
      <c r="L135" s="10">
        <f t="shared" si="9"/>
        <v>-5.6169161838586007E-3</v>
      </c>
      <c r="M135" s="10">
        <f t="shared" si="10"/>
        <v>-1.7200286447074616E-2</v>
      </c>
      <c r="N135" s="10">
        <f t="shared" si="12"/>
        <v>-6.1499538492074124E-3</v>
      </c>
      <c r="P135" s="28">
        <f t="shared" si="13"/>
        <v>-3074.9769246037063</v>
      </c>
    </row>
    <row r="136" spans="1:16" ht="15" x14ac:dyDescent="0.2">
      <c r="A136" s="4">
        <v>121</v>
      </c>
      <c r="B136" s="62">
        <v>46006</v>
      </c>
      <c r="C136" s="9">
        <f>$E$5*(1+'Nestlé India Limited'!B182/100)</f>
        <v>1858.3944710708529</v>
      </c>
      <c r="D136" s="9">
        <f>$E$6*(1+'Pidilite Industries Limited'!B182/100)</f>
        <v>2958.8</v>
      </c>
      <c r="E136" s="9">
        <f>$E$7*(1+'Divi''s Laboratories Limited'!B182/100)</f>
        <v>6347.5</v>
      </c>
      <c r="F136" s="9">
        <f>$E$8*(1+'Bosch Limited'!B182/100)</f>
        <v>36392.81259271835</v>
      </c>
      <c r="G136" s="9">
        <f>$E$9*(1+'UltraTech Cement Limited'!B182/100)</f>
        <v>11727.999999999998</v>
      </c>
      <c r="I136" s="10">
        <f t="shared" si="11"/>
        <v>3.2254190765434424E-3</v>
      </c>
      <c r="J136" s="10">
        <f t="shared" si="7"/>
        <v>1.7590154051796245E-3</v>
      </c>
      <c r="K136" s="10">
        <f t="shared" si="8"/>
        <v>-1.236903197135306E-2</v>
      </c>
      <c r="L136" s="10">
        <f t="shared" si="9"/>
        <v>-8.6350804493125852E-3</v>
      </c>
      <c r="M136" s="10">
        <f t="shared" si="10"/>
        <v>4.2642105460434396E-4</v>
      </c>
      <c r="N136" s="10">
        <f t="shared" si="12"/>
        <v>-3.1186513768676474E-3</v>
      </c>
      <c r="P136" s="28">
        <f t="shared" si="13"/>
        <v>-1559.3256884338236</v>
      </c>
    </row>
    <row r="137" spans="1:16" ht="15" x14ac:dyDescent="0.2">
      <c r="A137" s="4">
        <v>122</v>
      </c>
      <c r="B137" s="62">
        <v>46003</v>
      </c>
      <c r="C137" s="9">
        <f>$E$5*(1+'Nestlé India Limited'!B183/100)</f>
        <v>1852.4100264512149</v>
      </c>
      <c r="D137" s="9">
        <f>$E$6*(1+'Pidilite Industries Limited'!B183/100)</f>
        <v>2953.6</v>
      </c>
      <c r="E137" s="9">
        <f>$E$7*(1+'Divi''s Laboratories Limited'!B183/100)</f>
        <v>6426.5</v>
      </c>
      <c r="F137" s="9">
        <f>$E$8*(1+'Bosch Limited'!B183/100)</f>
        <v>36708.428179079099</v>
      </c>
      <c r="G137" s="9">
        <f>$E$9*(1+'UltraTech Cement Limited'!B183/100)</f>
        <v>11723</v>
      </c>
      <c r="I137" s="10">
        <f t="shared" si="11"/>
        <v>1.9038875899681597E-2</v>
      </c>
      <c r="J137" s="10">
        <f t="shared" si="7"/>
        <v>6.3854574686937945E-3</v>
      </c>
      <c r="K137" s="10">
        <f t="shared" si="8"/>
        <v>-5.444716814785261E-4</v>
      </c>
      <c r="L137" s="10">
        <f t="shared" si="9"/>
        <v>-5.8830770557713307E-3</v>
      </c>
      <c r="M137" s="10">
        <f t="shared" si="10"/>
        <v>2.1643440232426595E-2</v>
      </c>
      <c r="N137" s="10">
        <f t="shared" si="12"/>
        <v>8.128044972710427E-3</v>
      </c>
      <c r="P137" s="28">
        <f t="shared" si="13"/>
        <v>4064.0224863552135</v>
      </c>
    </row>
    <row r="138" spans="1:16" ht="15" x14ac:dyDescent="0.2">
      <c r="A138" s="4">
        <v>123</v>
      </c>
      <c r="B138" s="62">
        <v>46002</v>
      </c>
      <c r="C138" s="9">
        <f>$E$5*(1+'Nestlé India Limited'!B184/100)</f>
        <v>1817.4758309840774</v>
      </c>
      <c r="D138" s="9">
        <f>$E$6*(1+'Pidilite Industries Limited'!B184/100)</f>
        <v>2934.8</v>
      </c>
      <c r="E138" s="9">
        <f>$E$7*(1+'Divi''s Laboratories Limited'!B184/100)</f>
        <v>6430</v>
      </c>
      <c r="F138" s="9">
        <f>$E$8*(1+'Bosch Limited'!B184/100)</f>
        <v>36925.023188511565</v>
      </c>
      <c r="G138" s="9">
        <f>$E$9*(1+'UltraTech Cement Limited'!B184/100)</f>
        <v>11472</v>
      </c>
      <c r="I138" s="10">
        <f t="shared" si="11"/>
        <v>5.0754199194836163E-3</v>
      </c>
      <c r="J138" s="10">
        <f t="shared" si="7"/>
        <v>8.0052427092788606E-3</v>
      </c>
      <c r="K138" s="10">
        <f t="shared" si="8"/>
        <v>2.1298302025351098E-2</v>
      </c>
      <c r="L138" s="10">
        <f t="shared" si="9"/>
        <v>1.4562132334997695E-2</v>
      </c>
      <c r="M138" s="10">
        <f t="shared" si="10"/>
        <v>1.3603263873460019E-2</v>
      </c>
      <c r="N138" s="10">
        <f t="shared" si="12"/>
        <v>1.2508872172514259E-2</v>
      </c>
      <c r="P138" s="28">
        <f t="shared" si="13"/>
        <v>6254.4360862571293</v>
      </c>
    </row>
    <row r="139" spans="1:16" ht="15" x14ac:dyDescent="0.2">
      <c r="A139" s="4">
        <v>124</v>
      </c>
      <c r="B139" s="62">
        <v>46001</v>
      </c>
      <c r="C139" s="9">
        <f>$E$5*(1+'Nestlé India Limited'!B185/100)</f>
        <v>1808.2747473813843</v>
      </c>
      <c r="D139" s="9">
        <f>$E$6*(1+'Pidilite Industries Limited'!B185/100)</f>
        <v>2911.4</v>
      </c>
      <c r="E139" s="9">
        <f>$E$7*(1+'Divi''s Laboratories Limited'!B185/100)</f>
        <v>6294.5</v>
      </c>
      <c r="F139" s="9">
        <f>$E$8*(1+'Bosch Limited'!B185/100)</f>
        <v>36391.212260161934</v>
      </c>
      <c r="G139" s="9">
        <f>$E$9*(1+'UltraTech Cement Limited'!B185/100)</f>
        <v>11317</v>
      </c>
      <c r="I139" s="10">
        <f t="shared" si="11"/>
        <v>-5.5280668831613608E-3</v>
      </c>
      <c r="J139" s="10">
        <f t="shared" si="7"/>
        <v>-2.8125554469167146E-3</v>
      </c>
      <c r="K139" s="10">
        <f t="shared" si="8"/>
        <v>7.94375819617396E-5</v>
      </c>
      <c r="L139" s="10">
        <f t="shared" si="9"/>
        <v>-1.1094339548366666E-2</v>
      </c>
      <c r="M139" s="10">
        <f t="shared" si="10"/>
        <v>-8.5346521307118305E-3</v>
      </c>
      <c r="N139" s="10">
        <f t="shared" si="12"/>
        <v>-5.5780352854389662E-3</v>
      </c>
      <c r="P139" s="28">
        <f t="shared" si="13"/>
        <v>-2789.0176427194829</v>
      </c>
    </row>
    <row r="140" spans="1:16" ht="15" x14ac:dyDescent="0.2">
      <c r="A140" s="4">
        <v>125</v>
      </c>
      <c r="B140" s="62">
        <v>46000</v>
      </c>
      <c r="C140" s="9">
        <f>$E$5*(1+'Nestlé India Limited'!B186/100)</f>
        <v>1818.2986921192776</v>
      </c>
      <c r="D140" s="9">
        <f>$E$6*(1+'Pidilite Industries Limited'!B186/100)</f>
        <v>2919.6</v>
      </c>
      <c r="E140" s="9">
        <f>$E$7*(1+'Divi''s Laboratories Limited'!B186/100)</f>
        <v>6294</v>
      </c>
      <c r="F140" s="9">
        <f>$E$8*(1+'Bosch Limited'!B186/100)</f>
        <v>36797.196625567813</v>
      </c>
      <c r="G140" s="9">
        <f>$E$9*(1+'UltraTech Cement Limited'!B186/100)</f>
        <v>11414</v>
      </c>
      <c r="I140" s="10">
        <f t="shared" si="11"/>
        <v>1.2342885370832999E-4</v>
      </c>
      <c r="J140" s="10">
        <f t="shared" si="7"/>
        <v>2.5378113006731496E-3</v>
      </c>
      <c r="K140" s="10">
        <f t="shared" si="8"/>
        <v>-5.4664426081509144E-3</v>
      </c>
      <c r="L140" s="10">
        <f t="shared" si="9"/>
        <v>5.4374919334474999E-3</v>
      </c>
      <c r="M140" s="10">
        <f t="shared" si="10"/>
        <v>-1.0978588965437021E-2</v>
      </c>
      <c r="N140" s="10">
        <f t="shared" si="12"/>
        <v>-1.669259897151791E-3</v>
      </c>
      <c r="P140" s="28">
        <f t="shared" si="13"/>
        <v>-834.62994857589547</v>
      </c>
    </row>
    <row r="141" spans="1:16" ht="15" x14ac:dyDescent="0.2">
      <c r="A141" s="4">
        <v>126</v>
      </c>
      <c r="B141" s="62">
        <v>45999</v>
      </c>
      <c r="C141" s="9">
        <f>$E$5*(1+'Nestlé India Limited'!B187/100)</f>
        <v>1818.0742754460414</v>
      </c>
      <c r="D141" s="9">
        <f>$E$6*(1+'Pidilite Industries Limited'!B187/100)</f>
        <v>2912.2</v>
      </c>
      <c r="E141" s="9">
        <f>$E$7*(1+'Divi''s Laboratories Limited'!B187/100)</f>
        <v>6328.5</v>
      </c>
      <c r="F141" s="9">
        <f>$E$8*(1+'Bosch Limited'!B187/100)</f>
        <v>36597.655159939648</v>
      </c>
      <c r="G141" s="9">
        <f>$E$9*(1+'UltraTech Cement Limited'!B187/100)</f>
        <v>11539.999999999998</v>
      </c>
      <c r="I141" s="10">
        <f t="shared" si="11"/>
        <v>-2.5551281385582048E-2</v>
      </c>
      <c r="J141" s="10">
        <f t="shared" si="7"/>
        <v>-1.2964155369144607E-2</v>
      </c>
      <c r="K141" s="10">
        <f t="shared" si="8"/>
        <v>-2.2653679266198871E-2</v>
      </c>
      <c r="L141" s="10">
        <f t="shared" si="9"/>
        <v>-8.2116032898338284E-3</v>
      </c>
      <c r="M141" s="10">
        <f t="shared" si="10"/>
        <v>-4.9271828946128261E-3</v>
      </c>
      <c r="N141" s="10">
        <f t="shared" si="12"/>
        <v>-1.4861580441074437E-2</v>
      </c>
      <c r="P141" s="28">
        <f t="shared" si="13"/>
        <v>-7430.7902205372184</v>
      </c>
    </row>
    <row r="142" spans="1:16" ht="15" x14ac:dyDescent="0.2">
      <c r="A142" s="4">
        <v>127</v>
      </c>
      <c r="B142" s="62">
        <v>45996</v>
      </c>
      <c r="C142" s="9">
        <f>$E$5*(1+'Nestlé India Limited'!B188/100)</f>
        <v>1865.1269712679457</v>
      </c>
      <c r="D142" s="9">
        <f>$E$6*(1+'Pidilite Industries Limited'!B188/100)</f>
        <v>2950.2</v>
      </c>
      <c r="E142" s="9">
        <f>$E$7*(1+'Divi''s Laboratories Limited'!B188/100)</f>
        <v>6473.5</v>
      </c>
      <c r="F142" s="9">
        <f>$E$8*(1+'Bosch Limited'!B188/100)</f>
        <v>36899.417867608914</v>
      </c>
      <c r="G142" s="9">
        <f>$E$9*(1+'UltraTech Cement Limited'!B188/100)</f>
        <v>11597</v>
      </c>
      <c r="I142" s="10">
        <f t="shared" si="11"/>
        <v>3.616204519326152E-3</v>
      </c>
      <c r="J142" s="10">
        <f t="shared" si="7"/>
        <v>-6.4869475399468137E-3</v>
      </c>
      <c r="K142" s="10">
        <f t="shared" si="8"/>
        <v>6.9538345471644618E-4</v>
      </c>
      <c r="L142" s="10">
        <f t="shared" si="9"/>
        <v>8.3658015811602447E-4</v>
      </c>
      <c r="M142" s="10">
        <f t="shared" si="10"/>
        <v>-9.4807160732057077E-4</v>
      </c>
      <c r="N142" s="10">
        <f t="shared" si="12"/>
        <v>-4.5737020302175226E-4</v>
      </c>
      <c r="P142" s="28">
        <f t="shared" si="13"/>
        <v>-228.68510151087614</v>
      </c>
    </row>
    <row r="143" spans="1:16" ht="15" x14ac:dyDescent="0.2">
      <c r="A143" s="4">
        <v>128</v>
      </c>
      <c r="B143" s="62">
        <v>45995</v>
      </c>
      <c r="C143" s="9">
        <f>$E$5*(1+'Nestlé India Limited'!B189/100)</f>
        <v>1858.3944710708529</v>
      </c>
      <c r="D143" s="9">
        <f>$E$6*(1+'Pidilite Industries Limited'!B189/100)</f>
        <v>2969.4</v>
      </c>
      <c r="E143" s="9">
        <f>$E$7*(1+'Divi''s Laboratories Limited'!B189/100)</f>
        <v>6469</v>
      </c>
      <c r="F143" s="9">
        <f>$E$8*(1+'Bosch Limited'!B189/100)</f>
        <v>36868.561455505514</v>
      </c>
      <c r="G143" s="9">
        <f>$E$9*(1+'UltraTech Cement Limited'!B189/100)</f>
        <v>11608</v>
      </c>
      <c r="I143" s="10">
        <f t="shared" si="11"/>
        <v>6.0397416826638256E-4</v>
      </c>
      <c r="J143" s="10">
        <f t="shared" si="7"/>
        <v>4.1170375029505159E-3</v>
      </c>
      <c r="K143" s="10">
        <f t="shared" si="8"/>
        <v>2.1665127632425176E-3</v>
      </c>
      <c r="L143" s="10">
        <f t="shared" si="9"/>
        <v>6.683817264192194E-3</v>
      </c>
      <c r="M143" s="10">
        <f t="shared" si="10"/>
        <v>1.4655806752788378E-3</v>
      </c>
      <c r="N143" s="10">
        <f t="shared" si="12"/>
        <v>3.0073844747860899E-3</v>
      </c>
      <c r="P143" s="28">
        <f t="shared" si="13"/>
        <v>1503.6922373930449</v>
      </c>
    </row>
    <row r="144" spans="1:16" ht="15" x14ac:dyDescent="0.2">
      <c r="A144" s="4">
        <v>129</v>
      </c>
      <c r="B144" s="62">
        <v>45994</v>
      </c>
      <c r="C144" s="9">
        <f>$E$5*(1+'Nestlé India Limited'!B190/100)</f>
        <v>1857.2723877046708</v>
      </c>
      <c r="D144" s="9">
        <f>$E$6*(1+'Pidilite Industries Limited'!B190/100)</f>
        <v>2957.2</v>
      </c>
      <c r="E144" s="9">
        <f>$E$7*(1+'Divi''s Laboratories Limited'!B190/100)</f>
        <v>6455</v>
      </c>
      <c r="F144" s="9">
        <f>$E$8*(1+'Bosch Limited'!B190/100)</f>
        <v>36622.960418487972</v>
      </c>
      <c r="G144" s="9">
        <f>$E$9*(1+'UltraTech Cement Limited'!B190/100)</f>
        <v>11590.999999999998</v>
      </c>
      <c r="I144" s="10">
        <f t="shared" si="11"/>
        <v>-1.379994300463574E-2</v>
      </c>
      <c r="J144" s="10">
        <f t="shared" ref="J144:J207" si="14">LN(D144/D145)</f>
        <v>6.5818727856303393E-3</v>
      </c>
      <c r="K144" s="10">
        <f t="shared" ref="K144:K207" si="15">LN(E144/E145)</f>
        <v>5.8263905354473651E-3</v>
      </c>
      <c r="L144" s="10">
        <f t="shared" ref="L144:L207" si="16">LN(F144/F145)</f>
        <v>-1.5814184618543957E-3</v>
      </c>
      <c r="M144" s="10">
        <f t="shared" ref="M144:M207" si="17">LN(G144/G145)</f>
        <v>-6.4496934248381189E-3</v>
      </c>
      <c r="N144" s="10">
        <f t="shared" si="12"/>
        <v>-1.8845583140501103E-3</v>
      </c>
      <c r="P144" s="28">
        <f t="shared" si="13"/>
        <v>-942.27915702505516</v>
      </c>
    </row>
    <row r="145" spans="1:16" ht="15" x14ac:dyDescent="0.2">
      <c r="A145" s="4">
        <v>130</v>
      </c>
      <c r="B145" s="62">
        <v>45993</v>
      </c>
      <c r="C145" s="9">
        <f>$E$5*(1+'Nestlé India Limited'!B191/100)</f>
        <v>1883.0803051268599</v>
      </c>
      <c r="D145" s="9">
        <f>$E$6*(1+'Pidilite Industries Limited'!B191/100)</f>
        <v>2937.8</v>
      </c>
      <c r="E145" s="9">
        <f>$E$7*(1+'Divi''s Laboratories Limited'!B191/100)</f>
        <v>6417.5</v>
      </c>
      <c r="F145" s="9">
        <f>$E$8*(1+'Bosch Limited'!B191/100)</f>
        <v>36680.922463265684</v>
      </c>
      <c r="G145" s="9">
        <f>$E$9*(1+'UltraTech Cement Limited'!B191/100)</f>
        <v>11666</v>
      </c>
      <c r="I145" s="10">
        <f t="shared" ref="I145:I208" si="18">LN(C145/C146)</f>
        <v>-9.5294825555755332E-4</v>
      </c>
      <c r="J145" s="10">
        <f t="shared" si="14"/>
        <v>2.0425531985921906E-4</v>
      </c>
      <c r="K145" s="10">
        <f t="shared" si="15"/>
        <v>-7.7881623874321096E-4</v>
      </c>
      <c r="L145" s="10">
        <f t="shared" si="16"/>
        <v>5.7728623242748207E-3</v>
      </c>
      <c r="M145" s="10">
        <f t="shared" si="17"/>
        <v>3.4293553148172099E-4</v>
      </c>
      <c r="N145" s="10">
        <f t="shared" ref="N145:N208" si="19">$D$5*I145+$D$6*J145+$D$7*K145+$D$8*L145+$D$9*M145</f>
        <v>9.1765773626299935E-4</v>
      </c>
      <c r="P145" s="28">
        <f t="shared" ref="P145:P208" si="20">$C$10*N145</f>
        <v>458.82886813149969</v>
      </c>
    </row>
    <row r="146" spans="1:16" ht="15" x14ac:dyDescent="0.2">
      <c r="A146" s="4">
        <v>131</v>
      </c>
      <c r="B146" s="62">
        <v>45992</v>
      </c>
      <c r="C146" s="9">
        <f>$E$5*(1+'Nestlé India Limited'!B192/100)</f>
        <v>1884.875638512751</v>
      </c>
      <c r="D146" s="9">
        <f>$E$6*(1+'Pidilite Industries Limited'!B192/100)</f>
        <v>2937.2</v>
      </c>
      <c r="E146" s="9">
        <f>$E$7*(1+'Divi''s Laboratories Limited'!B192/100)</f>
        <v>6422.5</v>
      </c>
      <c r="F146" s="9">
        <f>$E$8*(1+'Bosch Limited'!B192/100)</f>
        <v>36469.77858660349</v>
      </c>
      <c r="G146" s="9">
        <f>$E$9*(1+'UltraTech Cement Limited'!B192/100)</f>
        <v>11662</v>
      </c>
      <c r="I146" s="10">
        <f t="shared" si="18"/>
        <v>-3.5712160370032569E-4</v>
      </c>
      <c r="J146" s="10">
        <f t="shared" si="14"/>
        <v>-8.1677107726076635E-4</v>
      </c>
      <c r="K146" s="10">
        <f t="shared" si="15"/>
        <v>-8.4499901988784095E-3</v>
      </c>
      <c r="L146" s="10">
        <f t="shared" si="16"/>
        <v>1.0311550925090217E-2</v>
      </c>
      <c r="M146" s="10">
        <f t="shared" si="17"/>
        <v>5.3305946876453071E-3</v>
      </c>
      <c r="N146" s="10">
        <f t="shared" si="19"/>
        <v>1.2036525465792046E-3</v>
      </c>
      <c r="P146" s="28">
        <f t="shared" si="20"/>
        <v>601.82627328960234</v>
      </c>
    </row>
    <row r="147" spans="1:16" ht="15" x14ac:dyDescent="0.2">
      <c r="A147" s="4">
        <v>132</v>
      </c>
      <c r="B147" s="62">
        <v>45989</v>
      </c>
      <c r="C147" s="9">
        <f>$E$5*(1+'Nestlé India Limited'!B193/100)</f>
        <v>1885.5488885324605</v>
      </c>
      <c r="D147" s="9">
        <f>$E$6*(1+'Pidilite Industries Limited'!B193/100)</f>
        <v>2939.6</v>
      </c>
      <c r="E147" s="9">
        <f>$E$7*(1+'Divi''s Laboratories Limited'!B193/100)</f>
        <v>6477</v>
      </c>
      <c r="F147" s="9">
        <f>$E$8*(1+'Bosch Limited'!B193/100)</f>
        <v>36095.650841148774</v>
      </c>
      <c r="G147" s="9">
        <f>$E$9*(1+'UltraTech Cement Limited'!B193/100)</f>
        <v>11600</v>
      </c>
      <c r="I147" s="10">
        <f t="shared" si="18"/>
        <v>-4.1570224362993385E-3</v>
      </c>
      <c r="J147" s="10">
        <f t="shared" si="14"/>
        <v>-1.6994667765920484E-3</v>
      </c>
      <c r="K147" s="10">
        <f t="shared" si="15"/>
        <v>-2.0821291501321375E-3</v>
      </c>
      <c r="L147" s="10">
        <f t="shared" si="16"/>
        <v>-6.3062500614801268E-3</v>
      </c>
      <c r="M147" s="10">
        <f t="shared" si="17"/>
        <v>-1.464444419018834E-3</v>
      </c>
      <c r="N147" s="10">
        <f t="shared" si="19"/>
        <v>-3.1418625687044976E-3</v>
      </c>
      <c r="P147" s="28">
        <f t="shared" si="20"/>
        <v>-1570.9312843522489</v>
      </c>
    </row>
    <row r="148" spans="1:16" ht="15" x14ac:dyDescent="0.2">
      <c r="A148" s="4">
        <v>133</v>
      </c>
      <c r="B148" s="62">
        <v>45988</v>
      </c>
      <c r="C148" s="9">
        <f>$E$5*(1+'Nestlé India Limited'!B194/100)</f>
        <v>1893.4034720957354</v>
      </c>
      <c r="D148" s="9">
        <f>$E$6*(1+'Pidilite Industries Limited'!B194/100)</f>
        <v>2944.6</v>
      </c>
      <c r="E148" s="9">
        <f>$E$7*(1+'Divi''s Laboratories Limited'!B194/100)</f>
        <v>6490.5</v>
      </c>
      <c r="F148" s="9">
        <f>$E$8*(1+'Bosch Limited'!B194/100)</f>
        <v>36323.998292792436</v>
      </c>
      <c r="G148" s="9">
        <f>$E$9*(1+'UltraTech Cement Limited'!B194/100)</f>
        <v>11617</v>
      </c>
      <c r="I148" s="10">
        <f t="shared" si="18"/>
        <v>-7.7530446014258533E-3</v>
      </c>
      <c r="J148" s="10">
        <f t="shared" si="14"/>
        <v>-8.1848463150797097E-3</v>
      </c>
      <c r="K148" s="10">
        <f t="shared" si="15"/>
        <v>-2.9998868695657599E-3</v>
      </c>
      <c r="L148" s="10">
        <f t="shared" si="16"/>
        <v>-5.2263683323173719E-3</v>
      </c>
      <c r="M148" s="10">
        <f t="shared" si="17"/>
        <v>-1.2149362309941012E-2</v>
      </c>
      <c r="N148" s="10">
        <f t="shared" si="19"/>
        <v>-7.2627016856659423E-3</v>
      </c>
      <c r="P148" s="28">
        <f t="shared" si="20"/>
        <v>-3631.350842832971</v>
      </c>
    </row>
    <row r="149" spans="1:16" ht="15" x14ac:dyDescent="0.2">
      <c r="A149" s="4">
        <v>134</v>
      </c>
      <c r="B149" s="62">
        <v>45987</v>
      </c>
      <c r="C149" s="9">
        <f>$E$5*(1+'Nestlé India Limited'!B195/100)</f>
        <v>1908.1401669715942</v>
      </c>
      <c r="D149" s="9">
        <f>$E$6*(1+'Pidilite Industries Limited'!B195/100)</f>
        <v>2968.8</v>
      </c>
      <c r="E149" s="9">
        <f>$E$7*(1+'Divi''s Laboratories Limited'!B195/100)</f>
        <v>6510</v>
      </c>
      <c r="F149" s="9">
        <f>$E$8*(1+'Bosch Limited'!B195/100)</f>
        <v>36514.337846221213</v>
      </c>
      <c r="G149" s="9">
        <f>$E$9*(1+'UltraTech Cement Limited'!B195/100)</f>
        <v>11759</v>
      </c>
      <c r="I149" s="10">
        <f t="shared" si="18"/>
        <v>9.690838101241897E-3</v>
      </c>
      <c r="J149" s="10">
        <f t="shared" si="14"/>
        <v>1.2063853526743613E-2</v>
      </c>
      <c r="K149" s="10">
        <f t="shared" si="15"/>
        <v>1.5168221473171444E-2</v>
      </c>
      <c r="L149" s="10">
        <f t="shared" si="16"/>
        <v>2.0702180560478376E-2</v>
      </c>
      <c r="M149" s="10">
        <f t="shared" si="17"/>
        <v>1.5339432696429529E-2</v>
      </c>
      <c r="N149" s="10">
        <f t="shared" si="19"/>
        <v>1.4592905271612973E-2</v>
      </c>
      <c r="P149" s="28">
        <f t="shared" si="20"/>
        <v>7296.4526358064868</v>
      </c>
    </row>
    <row r="150" spans="1:16" ht="15" x14ac:dyDescent="0.2">
      <c r="A150" s="4">
        <v>135</v>
      </c>
      <c r="B150" s="62">
        <v>45986</v>
      </c>
      <c r="C150" s="9">
        <f>$E$5*(1+'Nestlé India Limited'!B196/100)</f>
        <v>1889.7379997662067</v>
      </c>
      <c r="D150" s="9">
        <f>$E$6*(1+'Pidilite Industries Limited'!B196/100)</f>
        <v>2933.2</v>
      </c>
      <c r="E150" s="9">
        <f>$E$7*(1+'Divi''s Laboratories Limited'!B196/100)</f>
        <v>6412</v>
      </c>
      <c r="F150" s="9">
        <f>$E$8*(1+'Bosch Limited'!B196/100)</f>
        <v>35766.182376096556</v>
      </c>
      <c r="G150" s="9">
        <f>$E$9*(1+'UltraTech Cement Limited'!B196/100)</f>
        <v>11580</v>
      </c>
      <c r="I150" s="10">
        <f t="shared" si="18"/>
        <v>-5.0541053648036618E-3</v>
      </c>
      <c r="J150" s="10">
        <f t="shared" si="14"/>
        <v>2.4576746395746888E-3</v>
      </c>
      <c r="K150" s="10">
        <f t="shared" si="15"/>
        <v>8.3001024620357362E-3</v>
      </c>
      <c r="L150" s="10">
        <f t="shared" si="16"/>
        <v>-1.1986461540476787E-2</v>
      </c>
      <c r="M150" s="10">
        <f t="shared" si="17"/>
        <v>-3.4536349851122E-4</v>
      </c>
      <c r="N150" s="10">
        <f t="shared" si="19"/>
        <v>-1.3256306604362486E-3</v>
      </c>
      <c r="P150" s="28">
        <f t="shared" si="20"/>
        <v>-662.81533021812436</v>
      </c>
    </row>
    <row r="151" spans="1:16" ht="15" x14ac:dyDescent="0.2">
      <c r="A151" s="4">
        <v>136</v>
      </c>
      <c r="B151" s="62">
        <v>45985</v>
      </c>
      <c r="C151" s="9">
        <f>$E$5*(1+'Nestlé India Limited'!B197/100)</f>
        <v>1899.3131111576279</v>
      </c>
      <c r="D151" s="9">
        <f>$E$6*(1+'Pidilite Industries Limited'!B197/100)</f>
        <v>2926</v>
      </c>
      <c r="E151" s="9">
        <f>$E$7*(1+'Divi''s Laboratories Limited'!B197/100)</f>
        <v>6359</v>
      </c>
      <c r="F151" s="9">
        <f>$E$8*(1+'Bosch Limited'!B197/100)</f>
        <v>36197.472000050766</v>
      </c>
      <c r="G151" s="9">
        <f>$E$9*(1+'UltraTech Cement Limited'!B197/100)</f>
        <v>11583.999999999998</v>
      </c>
      <c r="I151" s="10">
        <f t="shared" si="18"/>
        <v>-8.9007978769918058E-3</v>
      </c>
      <c r="J151" s="10">
        <f t="shared" si="14"/>
        <v>-6.2008307438429951E-3</v>
      </c>
      <c r="K151" s="10">
        <f t="shared" si="15"/>
        <v>-2.1991840468863935E-3</v>
      </c>
      <c r="L151" s="10">
        <f t="shared" si="16"/>
        <v>-9.2332975309617326E-3</v>
      </c>
      <c r="M151" s="10">
        <f t="shared" si="17"/>
        <v>-1.2439571896007666E-2</v>
      </c>
      <c r="N151" s="10">
        <f t="shared" si="19"/>
        <v>-7.7947364189381186E-3</v>
      </c>
      <c r="P151" s="28">
        <f t="shared" si="20"/>
        <v>-3897.3682094690594</v>
      </c>
    </row>
    <row r="152" spans="1:16" ht="15" x14ac:dyDescent="0.2">
      <c r="A152" s="4">
        <v>137</v>
      </c>
      <c r="B152" s="62">
        <v>45982</v>
      </c>
      <c r="C152" s="9">
        <f>$E$5*(1+'Nestlé India Limited'!B198/100)</f>
        <v>1916.2939727658511</v>
      </c>
      <c r="D152" s="9">
        <f>$E$6*(1+'Pidilite Industries Limited'!B198/100)</f>
        <v>2944.2</v>
      </c>
      <c r="E152" s="9">
        <f>$E$7*(1+'Divi''s Laboratories Limited'!B198/100)</f>
        <v>6373</v>
      </c>
      <c r="F152" s="9">
        <f>$E$8*(1+'Bosch Limited'!B198/100)</f>
        <v>36533.24177454388</v>
      </c>
      <c r="G152" s="9">
        <f>$E$9*(1+'UltraTech Cement Limited'!B198/100)</f>
        <v>11729</v>
      </c>
      <c r="I152" s="10">
        <f t="shared" si="18"/>
        <v>2.3424689729976359E-4</v>
      </c>
      <c r="J152" s="10">
        <f t="shared" si="14"/>
        <v>-1.1414800920041608E-2</v>
      </c>
      <c r="K152" s="10">
        <f t="shared" si="15"/>
        <v>-1.3945923502390465E-2</v>
      </c>
      <c r="L152" s="10">
        <f t="shared" si="16"/>
        <v>-1.4820239281631084E-2</v>
      </c>
      <c r="M152" s="10">
        <f t="shared" si="17"/>
        <v>-2.0441196113490274E-3</v>
      </c>
      <c r="N152" s="10">
        <f t="shared" si="19"/>
        <v>-8.3981672836224847E-3</v>
      </c>
      <c r="P152" s="28">
        <f t="shared" si="20"/>
        <v>-4199.0836418112422</v>
      </c>
    </row>
    <row r="153" spans="1:16" ht="15" x14ac:dyDescent="0.2">
      <c r="A153" s="4">
        <v>138</v>
      </c>
      <c r="B153" s="62">
        <v>45981</v>
      </c>
      <c r="C153" s="9">
        <f>$E$5*(1+'Nestlé India Limited'!B199/100)</f>
        <v>1915.845139419378</v>
      </c>
      <c r="D153" s="9">
        <f>$E$6*(1+'Pidilite Industries Limited'!B199/100)</f>
        <v>2978</v>
      </c>
      <c r="E153" s="9">
        <f>$E$7*(1+'Divi''s Laboratories Limited'!B199/100)</f>
        <v>6462.5</v>
      </c>
      <c r="F153" s="9">
        <f>$E$8*(1+'Bosch Limited'!B199/100)</f>
        <v>37078.705124319931</v>
      </c>
      <c r="G153" s="9">
        <f>$E$9*(1+'UltraTech Cement Limited'!B199/100)</f>
        <v>11753</v>
      </c>
      <c r="I153" s="10">
        <f t="shared" si="18"/>
        <v>1.8368349082435573E-3</v>
      </c>
      <c r="J153" s="10">
        <f t="shared" si="14"/>
        <v>8.2948852042807365E-3</v>
      </c>
      <c r="K153" s="10">
        <f t="shared" si="15"/>
        <v>1.3161462047774461E-3</v>
      </c>
      <c r="L153" s="10">
        <f t="shared" si="16"/>
        <v>5.3188054041825852E-3</v>
      </c>
      <c r="M153" s="10">
        <f t="shared" si="17"/>
        <v>7.4298988192712401E-3</v>
      </c>
      <c r="N153" s="10">
        <f t="shared" si="19"/>
        <v>4.8393141081511139E-3</v>
      </c>
      <c r="P153" s="28">
        <f t="shared" si="20"/>
        <v>2419.657054075557</v>
      </c>
    </row>
    <row r="154" spans="1:16" ht="15" x14ac:dyDescent="0.2">
      <c r="A154" s="4">
        <v>139</v>
      </c>
      <c r="B154" s="62">
        <v>45980</v>
      </c>
      <c r="C154" s="9">
        <f>$E$5*(1+'Nestlé India Limited'!B200/100)</f>
        <v>1912.3292782053409</v>
      </c>
      <c r="D154" s="9">
        <f>$E$6*(1+'Pidilite Industries Limited'!B200/100)</f>
        <v>2953.4</v>
      </c>
      <c r="E154" s="9">
        <f>$E$7*(1+'Divi''s Laboratories Limited'!B200/100)</f>
        <v>6454</v>
      </c>
      <c r="F154" s="9">
        <f>$E$8*(1+'Bosch Limited'!B200/100)</f>
        <v>36882.014251057881</v>
      </c>
      <c r="G154" s="9">
        <f>$E$9*(1+'UltraTech Cement Limited'!B200/100)</f>
        <v>11666</v>
      </c>
      <c r="I154" s="10">
        <f t="shared" si="18"/>
        <v>1.0341191143980787E-2</v>
      </c>
      <c r="J154" s="10">
        <f t="shared" si="14"/>
        <v>-9.6371672850101633E-3</v>
      </c>
      <c r="K154" s="10">
        <f t="shared" si="15"/>
        <v>-3.0168268867947954E-3</v>
      </c>
      <c r="L154" s="10">
        <f t="shared" si="16"/>
        <v>-4.2702668856605943E-3</v>
      </c>
      <c r="M154" s="10">
        <f t="shared" si="17"/>
        <v>-3.5083251660893706E-3</v>
      </c>
      <c r="N154" s="10">
        <f t="shared" si="19"/>
        <v>-2.0182790159148272E-3</v>
      </c>
      <c r="P154" s="28">
        <f t="shared" si="20"/>
        <v>-1009.1395079574136</v>
      </c>
    </row>
    <row r="155" spans="1:16" ht="15" x14ac:dyDescent="0.2">
      <c r="A155" s="4">
        <v>140</v>
      </c>
      <c r="B155" s="62">
        <v>45979</v>
      </c>
      <c r="C155" s="9">
        <f>$E$5*(1+'Nestlé India Limited'!B201/100)</f>
        <v>1892.6554165182806</v>
      </c>
      <c r="D155" s="9">
        <f>$E$6*(1+'Pidilite Industries Limited'!B201/100)</f>
        <v>2982</v>
      </c>
      <c r="E155" s="9">
        <f>$E$7*(1+'Divi''s Laboratories Limited'!B201/100)</f>
        <v>6473.5</v>
      </c>
      <c r="F155" s="9">
        <f>$E$8*(1+'Bosch Limited'!B201/100)</f>
        <v>37039.847049434451</v>
      </c>
      <c r="G155" s="9">
        <f>$E$9*(1+'UltraTech Cement Limited'!B201/100)</f>
        <v>11706.999999999998</v>
      </c>
      <c r="I155" s="10">
        <f t="shared" si="18"/>
        <v>-3.7083836091538619E-3</v>
      </c>
      <c r="J155" s="10">
        <f t="shared" si="14"/>
        <v>1.0450120381744228E-2</v>
      </c>
      <c r="K155" s="10">
        <f t="shared" si="15"/>
        <v>-6.9273676041315445E-3</v>
      </c>
      <c r="L155" s="10">
        <f t="shared" si="16"/>
        <v>-1.0299939139273602E-2</v>
      </c>
      <c r="M155" s="10">
        <f t="shared" si="17"/>
        <v>-6.0464310248437743E-3</v>
      </c>
      <c r="N155" s="10">
        <f t="shared" si="19"/>
        <v>-3.3064001991317113E-3</v>
      </c>
      <c r="P155" s="28">
        <f t="shared" si="20"/>
        <v>-1653.2000995658557</v>
      </c>
    </row>
    <row r="156" spans="1:16" ht="15" x14ac:dyDescent="0.2">
      <c r="A156" s="4">
        <v>141</v>
      </c>
      <c r="B156" s="62">
        <v>45978</v>
      </c>
      <c r="C156" s="9">
        <f>$E$5*(1+'Nestlé India Limited'!B202/100)</f>
        <v>1899.6871389463556</v>
      </c>
      <c r="D156" s="9">
        <f>$E$6*(1+'Pidilite Industries Limited'!B202/100)</f>
        <v>2951</v>
      </c>
      <c r="E156" s="9">
        <f>$E$7*(1+'Divi''s Laboratories Limited'!B202/100)</f>
        <v>6518.5</v>
      </c>
      <c r="F156" s="9">
        <f>$E$8*(1+'Bosch Limited'!B202/100)</f>
        <v>37423.326738265729</v>
      </c>
      <c r="G156" s="9">
        <f>$E$9*(1+'UltraTech Cement Limited'!B202/100)</f>
        <v>11778</v>
      </c>
      <c r="I156" s="10">
        <f t="shared" si="18"/>
        <v>3.1507227230845216E-4</v>
      </c>
      <c r="J156" s="10">
        <f t="shared" si="14"/>
        <v>1.0697475365462245E-2</v>
      </c>
      <c r="K156" s="10">
        <f t="shared" si="15"/>
        <v>1.0744436950755837E-3</v>
      </c>
      <c r="L156" s="10">
        <f t="shared" si="16"/>
        <v>1.252751193945726E-2</v>
      </c>
      <c r="M156" s="10">
        <f t="shared" si="17"/>
        <v>-8.1177513261045629E-3</v>
      </c>
      <c r="N156" s="10">
        <f t="shared" si="19"/>
        <v>3.2993503892397961E-3</v>
      </c>
      <c r="P156" s="28">
        <f t="shared" si="20"/>
        <v>1649.6751946198981</v>
      </c>
    </row>
    <row r="157" spans="1:16" ht="15" x14ac:dyDescent="0.2">
      <c r="A157" s="4">
        <v>142</v>
      </c>
      <c r="B157" s="62">
        <v>45975</v>
      </c>
      <c r="C157" s="9">
        <f>$E$5*(1+'Nestlé India Limited'!B203/100)</f>
        <v>1899.0886944843915</v>
      </c>
      <c r="D157" s="9">
        <f>$E$6*(1+'Pidilite Industries Limited'!B203/100)</f>
        <v>2919.6</v>
      </c>
      <c r="E157" s="9">
        <f>$E$7*(1+'Divi''s Laboratories Limited'!B203/100)</f>
        <v>6511.5</v>
      </c>
      <c r="F157" s="9">
        <f>$E$8*(1+'Bosch Limited'!B203/100)</f>
        <v>36957.429922779003</v>
      </c>
      <c r="G157" s="9">
        <f>$E$9*(1+'UltraTech Cement Limited'!B203/100)</f>
        <v>11873.999999999998</v>
      </c>
      <c r="I157" s="10">
        <f t="shared" si="18"/>
        <v>-4.2843451341354286E-3</v>
      </c>
      <c r="J157" s="10">
        <f t="shared" si="14"/>
        <v>-1.4688146561657013E-2</v>
      </c>
      <c r="K157" s="10">
        <f t="shared" si="15"/>
        <v>-1.2514470839995857E-2</v>
      </c>
      <c r="L157" s="10">
        <f t="shared" si="16"/>
        <v>-1.042591061853467E-2</v>
      </c>
      <c r="M157" s="10">
        <f t="shared" si="17"/>
        <v>-5.0403332514066769E-3</v>
      </c>
      <c r="N157" s="10">
        <f t="shared" si="19"/>
        <v>-9.3906412811459294E-3</v>
      </c>
      <c r="P157" s="28">
        <f t="shared" si="20"/>
        <v>-4695.3206405729643</v>
      </c>
    </row>
    <row r="158" spans="1:16" ht="15" x14ac:dyDescent="0.2">
      <c r="A158" s="4">
        <v>143</v>
      </c>
      <c r="B158" s="62">
        <v>45974</v>
      </c>
      <c r="C158" s="9">
        <f>$E$5*(1+'Nestlé India Limited'!B204/100)</f>
        <v>1907.2425002786485</v>
      </c>
      <c r="D158" s="9">
        <f>$E$6*(1+'Pidilite Industries Limited'!B204/100)</f>
        <v>2962.8</v>
      </c>
      <c r="E158" s="9">
        <f>$E$7*(1+'Divi''s Laboratories Limited'!B204/100)</f>
        <v>6593.5</v>
      </c>
      <c r="F158" s="9">
        <f>$E$8*(1+'Bosch Limited'!B204/100)</f>
        <v>37344.760411824158</v>
      </c>
      <c r="G158" s="9">
        <f>$E$9*(1+'UltraTech Cement Limited'!B204/100)</f>
        <v>11934</v>
      </c>
      <c r="I158" s="10">
        <f t="shared" si="18"/>
        <v>-1.293483766821111E-3</v>
      </c>
      <c r="J158" s="10">
        <f t="shared" si="14"/>
        <v>-4.0494027684336947E-4</v>
      </c>
      <c r="K158" s="10">
        <f t="shared" si="15"/>
        <v>1.1209939327055099E-2</v>
      </c>
      <c r="L158" s="10">
        <f t="shared" si="16"/>
        <v>2.5892559732534118E-3</v>
      </c>
      <c r="M158" s="10">
        <f t="shared" si="17"/>
        <v>1.0899183640253787E-3</v>
      </c>
      <c r="N158" s="10">
        <f t="shared" si="19"/>
        <v>2.6381379241338819E-3</v>
      </c>
      <c r="P158" s="28">
        <f t="shared" si="20"/>
        <v>1319.0689620669409</v>
      </c>
    </row>
    <row r="159" spans="1:16" ht="15" x14ac:dyDescent="0.2">
      <c r="A159" s="4">
        <v>144</v>
      </c>
      <c r="B159" s="62">
        <v>45973</v>
      </c>
      <c r="C159" s="9">
        <f>$E$5*(1+'Nestlé India Limited'!B205/100)</f>
        <v>1909.7110836842492</v>
      </c>
      <c r="D159" s="9">
        <f>$E$6*(1+'Pidilite Industries Limited'!B205/100)</f>
        <v>2964</v>
      </c>
      <c r="E159" s="9">
        <f>$E$7*(1+'Divi''s Laboratories Limited'!B205/100)</f>
        <v>6520</v>
      </c>
      <c r="F159" s="9">
        <f>$E$8*(1+'Bosch Limited'!B205/100)</f>
        <v>37248.190344122901</v>
      </c>
      <c r="G159" s="9">
        <f>$E$9*(1+'UltraTech Cement Limited'!B205/100)</f>
        <v>11921.000000000002</v>
      </c>
      <c r="I159" s="10">
        <f t="shared" si="18"/>
        <v>6.5236417793454104E-3</v>
      </c>
      <c r="J159" s="10">
        <f t="shared" si="14"/>
        <v>6.1592803605348672E-3</v>
      </c>
      <c r="K159" s="10">
        <f t="shared" si="15"/>
        <v>-2.986334008508458E-3</v>
      </c>
      <c r="L159" s="10">
        <f t="shared" si="16"/>
        <v>1.5673833340998006E-2</v>
      </c>
      <c r="M159" s="10">
        <f t="shared" si="17"/>
        <v>8.0856163578680133E-3</v>
      </c>
      <c r="N159" s="10">
        <f t="shared" si="19"/>
        <v>6.6912075660475684E-3</v>
      </c>
      <c r="P159" s="28">
        <f t="shared" si="20"/>
        <v>3345.6037830237842</v>
      </c>
    </row>
    <row r="160" spans="1:16" ht="15" x14ac:dyDescent="0.2">
      <c r="A160" s="4">
        <v>145</v>
      </c>
      <c r="B160" s="62">
        <v>45972</v>
      </c>
      <c r="C160" s="9">
        <f>$E$5*(1+'Nestlé India Limited'!B206/100)</f>
        <v>1897.2933610985003</v>
      </c>
      <c r="D160" s="9">
        <f>$E$6*(1+'Pidilite Industries Limited'!B206/100)</f>
        <v>2945.8</v>
      </c>
      <c r="E160" s="9">
        <f>$E$7*(1+'Divi''s Laboratories Limited'!B206/100)</f>
        <v>6539.5</v>
      </c>
      <c r="F160" s="9">
        <f>$E$8*(1+'Bosch Limited'!B206/100)</f>
        <v>36668.919969092567</v>
      </c>
      <c r="G160" s="9">
        <f>$E$9*(1+'UltraTech Cement Limited'!B206/100)</f>
        <v>11825</v>
      </c>
      <c r="I160" s="10">
        <f t="shared" si="18"/>
        <v>4.2276678468206354E-3</v>
      </c>
      <c r="J160" s="10">
        <f t="shared" si="14"/>
        <v>1.1128293711682662E-2</v>
      </c>
      <c r="K160" s="10">
        <f t="shared" si="15"/>
        <v>-2.2977354307222031E-2</v>
      </c>
      <c r="L160" s="10">
        <f t="shared" si="16"/>
        <v>-1.6166455759910953E-2</v>
      </c>
      <c r="M160" s="10">
        <f t="shared" si="17"/>
        <v>8.2367892337012489E-3</v>
      </c>
      <c r="N160" s="10">
        <f t="shared" si="19"/>
        <v>-3.1102118549856876E-3</v>
      </c>
      <c r="P160" s="28">
        <f t="shared" si="20"/>
        <v>-1555.1059274928439</v>
      </c>
    </row>
    <row r="161" spans="1:16" ht="15" x14ac:dyDescent="0.2">
      <c r="A161" s="4">
        <v>146</v>
      </c>
      <c r="B161" s="62">
        <v>45971</v>
      </c>
      <c r="C161" s="9">
        <f>$E$5*(1+'Nestlé India Limited'!B207/100)</f>
        <v>1889.2891664197341</v>
      </c>
      <c r="D161" s="9">
        <f>$E$6*(1+'Pidilite Industries Limited'!B207/100)</f>
        <v>2913.2</v>
      </c>
      <c r="E161" s="9">
        <f>$E$7*(1+'Divi''s Laboratories Limited'!B207/100)</f>
        <v>6691.5</v>
      </c>
      <c r="F161" s="9">
        <f>$E$8*(1+'Bosch Limited'!B207/100)</f>
        <v>37266.544158129313</v>
      </c>
      <c r="G161" s="9">
        <f>$E$9*(1+'UltraTech Cement Limited'!B207/100)</f>
        <v>11727.999999999998</v>
      </c>
      <c r="I161" s="10">
        <f t="shared" si="18"/>
        <v>1.5057260046557907E-3</v>
      </c>
      <c r="J161" s="10">
        <f t="shared" si="14"/>
        <v>1.236518670980758E-3</v>
      </c>
      <c r="K161" s="10">
        <f t="shared" si="15"/>
        <v>5.244243364457256E-3</v>
      </c>
      <c r="L161" s="10">
        <f t="shared" si="16"/>
        <v>1.1758719379982222E-2</v>
      </c>
      <c r="M161" s="10">
        <f t="shared" si="17"/>
        <v>-1.0264330690307523E-2</v>
      </c>
      <c r="N161" s="10">
        <f t="shared" si="19"/>
        <v>1.896175345953701E-3</v>
      </c>
      <c r="P161" s="28">
        <f t="shared" si="20"/>
        <v>948.08767297685051</v>
      </c>
    </row>
    <row r="162" spans="1:16" ht="15" x14ac:dyDescent="0.2">
      <c r="A162" s="4">
        <v>147</v>
      </c>
      <c r="B162" s="62">
        <v>45968</v>
      </c>
      <c r="C162" s="9">
        <f>$E$5*(1+'Nestlé India Limited'!B208/100)</f>
        <v>1886.4465552254062</v>
      </c>
      <c r="D162" s="9">
        <f>$E$6*(1+'Pidilite Industries Limited'!B208/100)</f>
        <v>2909.6</v>
      </c>
      <c r="E162" s="9">
        <f>$E$7*(1+'Divi''s Laboratories Limited'!B208/100)</f>
        <v>6656.5</v>
      </c>
      <c r="F162" s="9">
        <f>$E$8*(1+'Bosch Limited'!B208/100)</f>
        <v>36830.903630037334</v>
      </c>
      <c r="G162" s="9">
        <f>$E$9*(1+'UltraTech Cement Limited'!B208/100)</f>
        <v>11849.000000000002</v>
      </c>
      <c r="I162" s="10">
        <f t="shared" si="18"/>
        <v>-6.2852267389525603E-3</v>
      </c>
      <c r="J162" s="10">
        <f t="shared" si="14"/>
        <v>8.2827640834501268E-3</v>
      </c>
      <c r="K162" s="10">
        <f t="shared" si="15"/>
        <v>-3.3533422631025968E-2</v>
      </c>
      <c r="L162" s="10">
        <f t="shared" si="16"/>
        <v>-5.5233385442115049E-3</v>
      </c>
      <c r="M162" s="10">
        <f t="shared" si="17"/>
        <v>-5.1349075326056429E-3</v>
      </c>
      <c r="N162" s="10">
        <f t="shared" si="19"/>
        <v>-8.4388262726691095E-3</v>
      </c>
      <c r="P162" s="28">
        <f t="shared" si="20"/>
        <v>-4219.413136334555</v>
      </c>
    </row>
    <row r="163" spans="1:16" ht="15" x14ac:dyDescent="0.2">
      <c r="A163" s="4">
        <v>148</v>
      </c>
      <c r="B163" s="62">
        <v>45967</v>
      </c>
      <c r="C163" s="9">
        <f>$E$5*(1+'Nestlé India Limited'!B209/100)</f>
        <v>1898.3406389069369</v>
      </c>
      <c r="D163" s="9">
        <f>$E$6*(1+'Pidilite Industries Limited'!B209/100)</f>
        <v>2885.6</v>
      </c>
      <c r="E163" s="9">
        <f>$E$7*(1+'Divi''s Laboratories Limited'!B209/100)</f>
        <v>6883.5</v>
      </c>
      <c r="F163" s="9">
        <f>$E$8*(1+'Bosch Limited'!B209/100)</f>
        <v>37034.896020588028</v>
      </c>
      <c r="G163" s="9">
        <f>$E$9*(1+'UltraTech Cement Limited'!B209/100)</f>
        <v>11910</v>
      </c>
      <c r="I163" s="10">
        <f t="shared" si="18"/>
        <v>3.2365042460878596E-3</v>
      </c>
      <c r="J163" s="10">
        <f t="shared" si="14"/>
        <v>-8.5576781745286129E-3</v>
      </c>
      <c r="K163" s="10">
        <f t="shared" si="15"/>
        <v>1.1543085502625524E-2</v>
      </c>
      <c r="L163" s="10">
        <f t="shared" si="16"/>
        <v>-2.2165767154915212E-2</v>
      </c>
      <c r="M163" s="10">
        <f t="shared" si="17"/>
        <v>7.6699773371051968E-3</v>
      </c>
      <c r="N163" s="10">
        <f t="shared" si="19"/>
        <v>-1.6547756487250485E-3</v>
      </c>
      <c r="P163" s="28">
        <f t="shared" si="20"/>
        <v>-827.38782436252427</v>
      </c>
    </row>
    <row r="164" spans="1:16" ht="15" x14ac:dyDescent="0.2">
      <c r="A164" s="4">
        <v>149</v>
      </c>
      <c r="B164" s="62">
        <v>45965</v>
      </c>
      <c r="C164" s="9">
        <f>$E$5*(1+'Nestlé India Limited'!B211/100)</f>
        <v>1892.2065831718076</v>
      </c>
      <c r="D164" s="9">
        <f>$E$6*(1+'Pidilite Industries Limited'!B211/100)</f>
        <v>2910.4</v>
      </c>
      <c r="E164" s="9">
        <f>$E$7*(1+'Divi''s Laboratories Limited'!B211/100)</f>
        <v>6804.5</v>
      </c>
      <c r="F164" s="9">
        <f>$E$8*(1+'Bosch Limited'!B211/100)</f>
        <v>37864.968513444255</v>
      </c>
      <c r="G164" s="9">
        <f>$E$9*(1+'UltraTech Cement Limited'!B211/100)</f>
        <v>11819</v>
      </c>
      <c r="I164" s="10">
        <f t="shared" si="18"/>
        <v>-2.8423689737618551E-3</v>
      </c>
      <c r="J164" s="10">
        <f t="shared" si="14"/>
        <v>-3.6354946238831075E-3</v>
      </c>
      <c r="K164" s="10">
        <f t="shared" si="15"/>
        <v>7.3483484619847765E-5</v>
      </c>
      <c r="L164" s="10">
        <f t="shared" si="16"/>
        <v>2.245613641887027E-2</v>
      </c>
      <c r="M164" s="10">
        <f t="shared" si="17"/>
        <v>-1.1022872347416163E-2</v>
      </c>
      <c r="N164" s="10">
        <f t="shared" si="19"/>
        <v>1.0057767916857984E-3</v>
      </c>
      <c r="P164" s="28">
        <f t="shared" si="20"/>
        <v>502.88839584289923</v>
      </c>
    </row>
    <row r="165" spans="1:16" ht="15" x14ac:dyDescent="0.2">
      <c r="A165" s="4">
        <v>150</v>
      </c>
      <c r="B165" s="62">
        <v>45964</v>
      </c>
      <c r="C165" s="9">
        <f>$E$5*(1+'Nestlé India Limited'!B212/100)</f>
        <v>1897.5925833294818</v>
      </c>
      <c r="D165" s="9">
        <f>$E$6*(1+'Pidilite Industries Limited'!B212/100)</f>
        <v>2921</v>
      </c>
      <c r="E165" s="9">
        <f>$E$7*(1+'Divi''s Laboratories Limited'!B212/100)</f>
        <v>6804</v>
      </c>
      <c r="F165" s="9">
        <f>$E$8*(1+'Bosch Limited'!B212/100)</f>
        <v>37024.143786224609</v>
      </c>
      <c r="G165" s="9">
        <f>$E$9*(1+'UltraTech Cement Limited'!B212/100)</f>
        <v>11950</v>
      </c>
      <c r="I165" s="10">
        <f t="shared" si="18"/>
        <v>-2.5197855767169508E-3</v>
      </c>
      <c r="J165" s="10">
        <f t="shared" si="14"/>
        <v>1.0946376211049271E-2</v>
      </c>
      <c r="K165" s="10">
        <f t="shared" si="15"/>
        <v>9.7475295492542632E-3</v>
      </c>
      <c r="L165" s="10">
        <f t="shared" si="16"/>
        <v>-6.3217506358588154E-3</v>
      </c>
      <c r="M165" s="10">
        <f t="shared" si="17"/>
        <v>2.510775424329171E-4</v>
      </c>
      <c r="N165" s="10">
        <f t="shared" si="19"/>
        <v>2.4206894180321369E-3</v>
      </c>
      <c r="P165" s="28">
        <f t="shared" si="20"/>
        <v>1210.3447090160685</v>
      </c>
    </row>
    <row r="166" spans="1:16" ht="15" x14ac:dyDescent="0.2">
      <c r="A166" s="4">
        <v>151</v>
      </c>
      <c r="B166" s="62">
        <v>45961</v>
      </c>
      <c r="C166" s="9">
        <f>$E$5*(1+'Nestlé India Limited'!B213/100)</f>
        <v>1902.3801390251924</v>
      </c>
      <c r="D166" s="9">
        <f>$E$6*(1+'Pidilite Industries Limited'!B213/100)</f>
        <v>2889.2</v>
      </c>
      <c r="E166" s="9">
        <f>$E$7*(1+'Divi''s Laboratories Limited'!B213/100)</f>
        <v>6737.9999999999991</v>
      </c>
      <c r="F166" s="9">
        <f>$E$8*(1+'Bosch Limited'!B213/100)</f>
        <v>37258.942578486327</v>
      </c>
      <c r="G166" s="9">
        <f>$E$9*(1+'UltraTech Cement Limited'!B213/100)</f>
        <v>11947</v>
      </c>
      <c r="I166" s="10">
        <f t="shared" si="18"/>
        <v>-6.5843859281793926E-3</v>
      </c>
      <c r="J166" s="10">
        <f t="shared" si="14"/>
        <v>-2.8524622442827767E-2</v>
      </c>
      <c r="K166" s="10">
        <f t="shared" si="15"/>
        <v>1.2394693137286061E-2</v>
      </c>
      <c r="L166" s="10">
        <f t="shared" si="16"/>
        <v>1.3095397463188635E-3</v>
      </c>
      <c r="M166" s="10">
        <f t="shared" si="17"/>
        <v>-8.8333907711196282E-3</v>
      </c>
      <c r="N166" s="10">
        <f t="shared" si="19"/>
        <v>-6.0476332517043719E-3</v>
      </c>
      <c r="P166" s="28">
        <f t="shared" si="20"/>
        <v>-3023.816625852186</v>
      </c>
    </row>
    <row r="167" spans="1:16" ht="15" x14ac:dyDescent="0.2">
      <c r="A167" s="4">
        <v>152</v>
      </c>
      <c r="B167" s="62">
        <v>45960</v>
      </c>
      <c r="C167" s="9">
        <f>$E$5*(1+'Nestlé India Limited'!B214/100)</f>
        <v>1914.9474727264326</v>
      </c>
      <c r="D167" s="9">
        <f>$E$6*(1+'Pidilite Industries Limited'!B214/100)</f>
        <v>2972.8</v>
      </c>
      <c r="E167" s="9">
        <f>$E$7*(1+'Divi''s Laboratories Limited'!B214/100)</f>
        <v>6655</v>
      </c>
      <c r="F167" s="9">
        <f>$E$8*(1+'Bosch Limited'!B214/100)</f>
        <v>37210.182445908016</v>
      </c>
      <c r="G167" s="9">
        <f>$E$9*(1+'UltraTech Cement Limited'!B214/100)</f>
        <v>12052.999999999998</v>
      </c>
      <c r="I167" s="10">
        <f t="shared" si="18"/>
        <v>5.405418566908203E-3</v>
      </c>
      <c r="J167" s="10">
        <f t="shared" si="14"/>
        <v>-1.3962881756909377E-2</v>
      </c>
      <c r="K167" s="10">
        <f t="shared" si="15"/>
        <v>2.172182314683575E-2</v>
      </c>
      <c r="L167" s="10">
        <f t="shared" si="16"/>
        <v>-4.7705459539955936E-3</v>
      </c>
      <c r="M167" s="10">
        <f t="shared" si="17"/>
        <v>4.4902786239545281E-3</v>
      </c>
      <c r="N167" s="10">
        <f t="shared" si="19"/>
        <v>2.5768185253587025E-3</v>
      </c>
      <c r="P167" s="28">
        <f t="shared" si="20"/>
        <v>1288.4092626793513</v>
      </c>
    </row>
    <row r="168" spans="1:16" ht="15" x14ac:dyDescent="0.2">
      <c r="A168" s="4">
        <v>153</v>
      </c>
      <c r="B168" s="62">
        <v>45959</v>
      </c>
      <c r="C168" s="9">
        <f>$E$5*(1+'Nestlé India Limited'!B215/100)</f>
        <v>1904.6243057575566</v>
      </c>
      <c r="D168" s="9">
        <f>$E$6*(1+'Pidilite Industries Limited'!B215/100)</f>
        <v>3014.6</v>
      </c>
      <c r="E168" s="9">
        <f>$E$7*(1+'Divi''s Laboratories Limited'!B215/100)</f>
        <v>6512</v>
      </c>
      <c r="F168" s="9">
        <f>$E$8*(1+'Bosch Limited'!B215/100)</f>
        <v>37388.11942202456</v>
      </c>
      <c r="G168" s="9">
        <f>$E$9*(1+'UltraTech Cement Limited'!B215/100)</f>
        <v>11999</v>
      </c>
      <c r="I168" s="10">
        <f t="shared" si="18"/>
        <v>1.6116038943416128E-3</v>
      </c>
      <c r="J168" s="10">
        <f t="shared" si="14"/>
        <v>1.0202469052777391E-2</v>
      </c>
      <c r="K168" s="10">
        <f t="shared" si="15"/>
        <v>1.1351034968537775E-2</v>
      </c>
      <c r="L168" s="10">
        <f t="shared" si="16"/>
        <v>-2.9893523115619831E-2</v>
      </c>
      <c r="M168" s="10">
        <f t="shared" si="17"/>
        <v>5.6832580885886209E-3</v>
      </c>
      <c r="N168" s="10">
        <f t="shared" si="19"/>
        <v>-2.09031422274886E-4</v>
      </c>
      <c r="P168" s="28">
        <f t="shared" si="20"/>
        <v>-104.51571113744299</v>
      </c>
    </row>
    <row r="169" spans="1:16" ht="15" x14ac:dyDescent="0.2">
      <c r="A169" s="4">
        <v>154</v>
      </c>
      <c r="B169" s="62">
        <v>45958</v>
      </c>
      <c r="C169" s="9">
        <f>$E$5*(1+'Nestlé India Limited'!B216/100)</f>
        <v>1901.5572778899921</v>
      </c>
      <c r="D169" s="9">
        <f>$E$6*(1+'Pidilite Industries Limited'!B216/100)</f>
        <v>2984</v>
      </c>
      <c r="E169" s="9">
        <f>$E$7*(1+'Divi''s Laboratories Limited'!B216/100)</f>
        <v>6438.5</v>
      </c>
      <c r="F169" s="9">
        <f>$E$8*(1+'Bosch Limited'!B216/100)</f>
        <v>38522.655183739014</v>
      </c>
      <c r="G169" s="9">
        <f>$E$9*(1+'UltraTech Cement Limited'!B216/100)</f>
        <v>11931</v>
      </c>
      <c r="I169" s="10">
        <f t="shared" si="18"/>
        <v>-9.163239116350981E-3</v>
      </c>
      <c r="J169" s="10">
        <f t="shared" si="14"/>
        <v>-8.2766458324752077E-3</v>
      </c>
      <c r="K169" s="10">
        <f t="shared" si="15"/>
        <v>-7.9669369842971915E-3</v>
      </c>
      <c r="L169" s="10">
        <f t="shared" si="16"/>
        <v>-1.2451160285395236E-2</v>
      </c>
      <c r="M169" s="10">
        <f t="shared" si="17"/>
        <v>-7.0158142947689423E-3</v>
      </c>
      <c r="N169" s="10">
        <f t="shared" si="19"/>
        <v>-8.9747593026575125E-3</v>
      </c>
      <c r="P169" s="28">
        <f t="shared" si="20"/>
        <v>-4487.3796513287562</v>
      </c>
    </row>
    <row r="170" spans="1:16" ht="15" x14ac:dyDescent="0.2">
      <c r="A170" s="4">
        <v>155</v>
      </c>
      <c r="B170" s="62">
        <v>45957</v>
      </c>
      <c r="C170" s="9">
        <f>$E$5*(1+'Nestlé India Limited'!B217/100)</f>
        <v>1919.0617784024334</v>
      </c>
      <c r="D170" s="9">
        <f>$E$6*(1+'Pidilite Industries Limited'!B217/100)</f>
        <v>3008.8</v>
      </c>
      <c r="E170" s="9">
        <f>$E$7*(1+'Divi''s Laboratories Limited'!B217/100)</f>
        <v>6490</v>
      </c>
      <c r="F170" s="9">
        <f>$E$8*(1+'Bosch Limited'!B217/100)</f>
        <v>39005.305480675714</v>
      </c>
      <c r="G170" s="9">
        <f>$E$9*(1+'UltraTech Cement Limited'!B217/100)</f>
        <v>12015</v>
      </c>
      <c r="I170" s="10">
        <f t="shared" si="18"/>
        <v>1.0140011008836539E-3</v>
      </c>
      <c r="J170" s="10">
        <f t="shared" si="14"/>
        <v>-1.7931268294492362E-3</v>
      </c>
      <c r="K170" s="10">
        <f t="shared" si="15"/>
        <v>-1.5745949415163919E-2</v>
      </c>
      <c r="L170" s="10">
        <f t="shared" si="16"/>
        <v>9.3040702344371045E-3</v>
      </c>
      <c r="M170" s="10">
        <f t="shared" si="17"/>
        <v>8.1060068636450988E-3</v>
      </c>
      <c r="N170" s="10">
        <f t="shared" si="19"/>
        <v>1.7700039087054E-4</v>
      </c>
      <c r="P170" s="28">
        <f t="shared" si="20"/>
        <v>88.500195435270001</v>
      </c>
    </row>
    <row r="171" spans="1:16" ht="15" x14ac:dyDescent="0.2">
      <c r="A171" s="4">
        <v>156</v>
      </c>
      <c r="B171" s="62">
        <v>45954</v>
      </c>
      <c r="C171" s="9">
        <f>$E$5*(1+'Nestlé India Limited'!B218/100)</f>
        <v>1917.1168339010515</v>
      </c>
      <c r="D171" s="9">
        <f>$E$6*(1+'Pidilite Industries Limited'!B218/100)</f>
        <v>3014.2</v>
      </c>
      <c r="E171" s="9">
        <f>$E$7*(1+'Divi''s Laboratories Limited'!B218/100)</f>
        <v>6593</v>
      </c>
      <c r="F171" s="9">
        <f>$E$8*(1+'Bosch Limited'!B218/100)</f>
        <v>38644.080416457102</v>
      </c>
      <c r="G171" s="9">
        <f>$E$9*(1+'UltraTech Cement Limited'!B218/100)</f>
        <v>11918</v>
      </c>
      <c r="I171" s="10">
        <f t="shared" si="18"/>
        <v>6.184214785409565E-3</v>
      </c>
      <c r="J171" s="10">
        <f t="shared" si="14"/>
        <v>-6.6133433284163668E-3</v>
      </c>
      <c r="K171" s="10">
        <f t="shared" si="15"/>
        <v>4.1798138142399932E-3</v>
      </c>
      <c r="L171" s="10">
        <f t="shared" si="16"/>
        <v>-8.1918336585624623E-3</v>
      </c>
      <c r="M171" s="10">
        <f t="shared" si="17"/>
        <v>-1.8867700129348703E-2</v>
      </c>
      <c r="N171" s="10">
        <f t="shared" si="19"/>
        <v>-4.6617697033355951E-3</v>
      </c>
      <c r="P171" s="28">
        <f t="shared" si="20"/>
        <v>-2330.8848516677976</v>
      </c>
    </row>
    <row r="172" spans="1:16" ht="15" x14ac:dyDescent="0.2">
      <c r="A172" s="4">
        <v>157</v>
      </c>
      <c r="B172" s="62">
        <v>45953</v>
      </c>
      <c r="C172" s="9">
        <f>$E$5*(1+'Nestlé India Limited'!B219/100)</f>
        <v>1905.2975557772661</v>
      </c>
      <c r="D172" s="9">
        <f>$E$6*(1+'Pidilite Industries Limited'!B219/100)</f>
        <v>3034.2</v>
      </c>
      <c r="E172" s="9">
        <f>$E$7*(1+'Divi''s Laboratories Limited'!B219/100)</f>
        <v>6565.5</v>
      </c>
      <c r="F172" s="9">
        <f>$E$8*(1+'Bosch Limited'!B219/100)</f>
        <v>38961.946470475305</v>
      </c>
      <c r="G172" s="9">
        <f>$E$9*(1+'UltraTech Cement Limited'!B219/100)</f>
        <v>12145</v>
      </c>
      <c r="I172" s="10">
        <f t="shared" si="18"/>
        <v>-1.0350644113352117E-2</v>
      </c>
      <c r="J172" s="10">
        <f t="shared" si="14"/>
        <v>-9.7734535464897593E-3</v>
      </c>
      <c r="K172" s="10">
        <f t="shared" si="15"/>
        <v>-3.2693433416332604E-3</v>
      </c>
      <c r="L172" s="10">
        <f t="shared" si="16"/>
        <v>-6.180505206636171E-3</v>
      </c>
      <c r="M172" s="10">
        <f t="shared" si="17"/>
        <v>-1.6090517444739345E-2</v>
      </c>
      <c r="N172" s="10">
        <f t="shared" si="19"/>
        <v>-9.1328927305701305E-3</v>
      </c>
      <c r="P172" s="28">
        <f t="shared" si="20"/>
        <v>-4566.4463652850654</v>
      </c>
    </row>
    <row r="173" spans="1:16" ht="15" x14ac:dyDescent="0.2">
      <c r="A173" s="4">
        <v>158</v>
      </c>
      <c r="B173" s="62">
        <v>45951</v>
      </c>
      <c r="C173" s="9">
        <f>$E$5*(1+'Nestlé India Limited'!B221/100)</f>
        <v>1925.121028579817</v>
      </c>
      <c r="D173" s="9">
        <f>$E$6*(1+'Pidilite Industries Limited'!B221/100)</f>
        <v>3064.0000000000005</v>
      </c>
      <c r="E173" s="9">
        <f>$E$7*(1+'Divi''s Laboratories Limited'!B221/100)</f>
        <v>6587</v>
      </c>
      <c r="F173" s="9">
        <f>$E$8*(1+'Bosch Limited'!B221/100)</f>
        <v>39203.496665709397</v>
      </c>
      <c r="G173" s="9">
        <f>$E$9*(1+'UltraTech Cement Limited'!B221/100)</f>
        <v>12342</v>
      </c>
      <c r="I173" s="10">
        <f t="shared" si="18"/>
        <v>1.3609412035437286E-3</v>
      </c>
      <c r="J173" s="10">
        <f t="shared" si="14"/>
        <v>3.7275653794603784E-3</v>
      </c>
      <c r="K173" s="10">
        <f t="shared" si="15"/>
        <v>-2.5775163993256921E-3</v>
      </c>
      <c r="L173" s="10">
        <f t="shared" si="16"/>
        <v>-2.9208382885956502E-4</v>
      </c>
      <c r="M173" s="10">
        <f t="shared" si="17"/>
        <v>-3.2404407282899447E-4</v>
      </c>
      <c r="N173" s="10">
        <f t="shared" si="19"/>
        <v>3.7897245639797122E-4</v>
      </c>
      <c r="P173" s="28">
        <f t="shared" si="20"/>
        <v>189.4862281989856</v>
      </c>
    </row>
    <row r="174" spans="1:16" ht="15" x14ac:dyDescent="0.2">
      <c r="A174" s="4">
        <v>159</v>
      </c>
      <c r="B174" s="62">
        <v>45950</v>
      </c>
      <c r="C174" s="9">
        <f>$E$5*(1+'Nestlé India Limited'!B222/100)</f>
        <v>1922.5028340587255</v>
      </c>
      <c r="D174" s="9">
        <f>$E$6*(1+'Pidilite Industries Limited'!B222/100)</f>
        <v>3052.6</v>
      </c>
      <c r="E174" s="9">
        <f>$E$7*(1+'Divi''s Laboratories Limited'!B222/100)</f>
        <v>6604</v>
      </c>
      <c r="F174" s="9">
        <f>$E$8*(1+'Bosch Limited'!B222/100)</f>
        <v>39214.94904556626</v>
      </c>
      <c r="G174" s="9">
        <f>$E$9*(1+'UltraTech Cement Limited'!B222/100)</f>
        <v>12346</v>
      </c>
      <c r="I174" s="10">
        <f t="shared" si="18"/>
        <v>-3.1080056098673069E-3</v>
      </c>
      <c r="J174" s="10">
        <f t="shared" si="14"/>
        <v>-1.0687622096817614E-2</v>
      </c>
      <c r="K174" s="10">
        <f t="shared" si="15"/>
        <v>-2.6464043270003697E-3</v>
      </c>
      <c r="L174" s="10">
        <f t="shared" si="16"/>
        <v>1.1831709706665746E-2</v>
      </c>
      <c r="M174" s="10">
        <f t="shared" si="17"/>
        <v>-1.9420624326923518E-3</v>
      </c>
      <c r="N174" s="10">
        <f t="shared" si="19"/>
        <v>-1.3104769519423792E-3</v>
      </c>
      <c r="P174" s="28">
        <f t="shared" si="20"/>
        <v>-655.23847597118959</v>
      </c>
    </row>
    <row r="175" spans="1:16" ht="15" x14ac:dyDescent="0.2">
      <c r="A175" s="4">
        <v>160</v>
      </c>
      <c r="B175" s="62">
        <v>45947</v>
      </c>
      <c r="C175" s="9">
        <f>$E$5*(1+'Nestlé India Limited'!B223/100)</f>
        <v>1928.4872786783637</v>
      </c>
      <c r="D175" s="9">
        <f>$E$6*(1+'Pidilite Industries Limited'!B223/100)</f>
        <v>3085.4</v>
      </c>
      <c r="E175" s="9">
        <f>$E$7*(1+'Divi''s Laboratories Limited'!B223/100)</f>
        <v>6621.5</v>
      </c>
      <c r="F175" s="9">
        <f>$E$8*(1+'Bosch Limited'!B223/100)</f>
        <v>38753.703196571623</v>
      </c>
      <c r="G175" s="9">
        <f>$E$9*(1+'UltraTech Cement Limited'!B223/100)</f>
        <v>12370</v>
      </c>
      <c r="I175" s="10">
        <f t="shared" si="18"/>
        <v>9.7055974203709497E-3</v>
      </c>
      <c r="J175" s="10">
        <f t="shared" si="14"/>
        <v>1.2852054122732137E-2</v>
      </c>
      <c r="K175" s="10">
        <f t="shared" si="15"/>
        <v>3.1765266462047631E-3</v>
      </c>
      <c r="L175" s="10">
        <f t="shared" si="16"/>
        <v>5.6968338852920733E-3</v>
      </c>
      <c r="M175" s="10">
        <f t="shared" si="17"/>
        <v>9.7055976560863418E-4</v>
      </c>
      <c r="N175" s="10">
        <f t="shared" si="19"/>
        <v>6.4803143680417117E-3</v>
      </c>
      <c r="P175" s="28">
        <f t="shared" si="20"/>
        <v>3240.1571840208558</v>
      </c>
    </row>
    <row r="176" spans="1:16" ht="15" x14ac:dyDescent="0.2">
      <c r="A176" s="4">
        <v>161</v>
      </c>
      <c r="B176" s="62">
        <v>45946</v>
      </c>
      <c r="C176" s="9">
        <f>$E$5*(1+'Nestlé India Limited'!B224/100)</f>
        <v>1909.86069479974</v>
      </c>
      <c r="D176" s="9">
        <f>$E$6*(1+'Pidilite Industries Limited'!B224/100)</f>
        <v>3046</v>
      </c>
      <c r="E176" s="9">
        <f>$E$7*(1+'Divi''s Laboratories Limited'!B224/100)</f>
        <v>6600.5</v>
      </c>
      <c r="F176" s="9">
        <f>$E$8*(1+'Bosch Limited'!B224/100)</f>
        <v>38533.557449279593</v>
      </c>
      <c r="G176" s="9">
        <f>$E$9*(1+'UltraTech Cement Limited'!B224/100)</f>
        <v>12358</v>
      </c>
      <c r="I176" s="10">
        <f t="shared" si="18"/>
        <v>4.4040582380009574E-2</v>
      </c>
      <c r="J176" s="10">
        <f t="shared" si="14"/>
        <v>1.468377464320156E-2</v>
      </c>
      <c r="K176" s="10">
        <f t="shared" si="15"/>
        <v>4.1750544572381424E-3</v>
      </c>
      <c r="L176" s="10">
        <f t="shared" si="16"/>
        <v>4.2438443179666462E-3</v>
      </c>
      <c r="M176" s="10">
        <f t="shared" si="17"/>
        <v>3.8104549733096469E-3</v>
      </c>
      <c r="N176" s="10">
        <f t="shared" si="19"/>
        <v>1.4190742154345112E-2</v>
      </c>
      <c r="P176" s="28">
        <f t="shared" si="20"/>
        <v>7095.3710771725564</v>
      </c>
    </row>
    <row r="177" spans="1:16" ht="15" x14ac:dyDescent="0.2">
      <c r="A177" s="4">
        <v>162</v>
      </c>
      <c r="B177" s="62">
        <v>45945</v>
      </c>
      <c r="C177" s="9">
        <f>$E$5*(1+'Nestlé India Limited'!B225/100)</f>
        <v>1827.574581279717</v>
      </c>
      <c r="D177" s="9">
        <f>$E$6*(1+'Pidilite Industries Limited'!B225/100)</f>
        <v>3001.6</v>
      </c>
      <c r="E177" s="9">
        <f>$E$7*(1+'Divi''s Laboratories Limited'!B225/100)</f>
        <v>6573</v>
      </c>
      <c r="F177" s="9">
        <f>$E$8*(1+'Bosch Limited'!B225/100)</f>
        <v>38370.373538917513</v>
      </c>
      <c r="G177" s="9">
        <f>$E$9*(1+'UltraTech Cement Limited'!B225/100)</f>
        <v>12311.000000000002</v>
      </c>
      <c r="I177" s="10">
        <f t="shared" si="18"/>
        <v>3.8809844274419601E-2</v>
      </c>
      <c r="J177" s="10">
        <f t="shared" si="14"/>
        <v>6.417134320633509E-3</v>
      </c>
      <c r="K177" s="10">
        <f t="shared" si="15"/>
        <v>1.8273189186987723E-3</v>
      </c>
      <c r="L177" s="10">
        <f t="shared" si="16"/>
        <v>9.2850958909114958E-3</v>
      </c>
      <c r="M177" s="10">
        <f t="shared" si="17"/>
        <v>1.9770136556037973E-2</v>
      </c>
      <c r="N177" s="10">
        <f t="shared" si="19"/>
        <v>1.5221905992140272E-2</v>
      </c>
      <c r="P177" s="28">
        <f t="shared" si="20"/>
        <v>7610.9529960701357</v>
      </c>
    </row>
    <row r="178" spans="1:16" ht="15" x14ac:dyDescent="0.2">
      <c r="A178" s="4">
        <v>163</v>
      </c>
      <c r="B178" s="62">
        <v>45944</v>
      </c>
      <c r="C178" s="9">
        <f>$E$5*(1+'Nestlé India Limited'!B226/100)</f>
        <v>1758.0054125764245</v>
      </c>
      <c r="D178" s="9">
        <f>$E$6*(1+'Pidilite Industries Limited'!B226/100)</f>
        <v>2982.4</v>
      </c>
      <c r="E178" s="9">
        <f>$E$7*(1+'Divi''s Laboratories Limited'!B226/100)</f>
        <v>6561</v>
      </c>
      <c r="F178" s="9">
        <f>$E$8*(1+'Bosch Limited'!B226/100)</f>
        <v>38015.749846494116</v>
      </c>
      <c r="G178" s="9">
        <f>$E$9*(1+'UltraTech Cement Limited'!B226/100)</f>
        <v>12070</v>
      </c>
      <c r="I178" s="10">
        <f t="shared" si="18"/>
        <v>-1.1128857057253675E-2</v>
      </c>
      <c r="J178" s="10">
        <f t="shared" si="14"/>
        <v>-1.4843684530446561E-2</v>
      </c>
      <c r="K178" s="10">
        <f t="shared" si="15"/>
        <v>7.6236948115715811E-4</v>
      </c>
      <c r="L178" s="10">
        <f t="shared" si="16"/>
        <v>-1.2905782884335176E-2</v>
      </c>
      <c r="M178" s="10">
        <f t="shared" si="17"/>
        <v>-8.4151969252844721E-3</v>
      </c>
      <c r="N178" s="10">
        <f t="shared" si="19"/>
        <v>-9.3062303832325468E-3</v>
      </c>
      <c r="P178" s="28">
        <f t="shared" si="20"/>
        <v>-4653.1151916162735</v>
      </c>
    </row>
    <row r="179" spans="1:16" ht="15" x14ac:dyDescent="0.2">
      <c r="A179" s="4">
        <v>164</v>
      </c>
      <c r="B179" s="62">
        <v>45943</v>
      </c>
      <c r="C179" s="9">
        <f>$E$5*(1+'Nestlé India Limited'!B227/100)</f>
        <v>1777.6792742634846</v>
      </c>
      <c r="D179" s="9">
        <f>$E$6*(1+'Pidilite Industries Limited'!B227/100)</f>
        <v>3027</v>
      </c>
      <c r="E179" s="9">
        <f>$E$7*(1+'Divi''s Laboratories Limited'!B227/100)</f>
        <v>6556</v>
      </c>
      <c r="F179" s="9">
        <f>$E$8*(1+'Bosch Limited'!B227/100)</f>
        <v>38509.552460933352</v>
      </c>
      <c r="G179" s="9">
        <f>$E$9*(1+'UltraTech Cement Limited'!B227/100)</f>
        <v>12172</v>
      </c>
      <c r="I179" s="10">
        <f t="shared" si="18"/>
        <v>-9.6736448167138601E-3</v>
      </c>
      <c r="J179" s="10">
        <f t="shared" si="14"/>
        <v>1.9179265824257577E-3</v>
      </c>
      <c r="K179" s="10">
        <f t="shared" si="15"/>
        <v>1.2509276354825483E-2</v>
      </c>
      <c r="L179" s="10">
        <f t="shared" si="16"/>
        <v>-2.8814427659046389E-3</v>
      </c>
      <c r="M179" s="10">
        <f t="shared" si="17"/>
        <v>-8.9151205935224572E-3</v>
      </c>
      <c r="N179" s="10">
        <f t="shared" si="19"/>
        <v>-1.4086010477779433E-3</v>
      </c>
      <c r="P179" s="28">
        <f t="shared" si="20"/>
        <v>-704.30052388897161</v>
      </c>
    </row>
    <row r="180" spans="1:16" ht="15" x14ac:dyDescent="0.2">
      <c r="A180" s="4">
        <v>165</v>
      </c>
      <c r="B180" s="62">
        <v>45940</v>
      </c>
      <c r="C180" s="9">
        <f>$E$5*(1+'Nestlé India Limited'!B228/100)</f>
        <v>1794.9593581026895</v>
      </c>
      <c r="D180" s="9">
        <f>$E$6*(1+'Pidilite Industries Limited'!B228/100)</f>
        <v>3021.2</v>
      </c>
      <c r="E180" s="9">
        <f>$E$7*(1+'Divi''s Laboratories Limited'!B228/100)</f>
        <v>6474.5</v>
      </c>
      <c r="F180" s="9">
        <f>$E$8*(1+'Bosch Limited'!B228/100)</f>
        <v>38620.675552819506</v>
      </c>
      <c r="G180" s="9">
        <f>$E$9*(1+'UltraTech Cement Limited'!B228/100)</f>
        <v>12281</v>
      </c>
      <c r="I180" s="10">
        <f t="shared" si="18"/>
        <v>1.0220840452802546E-2</v>
      </c>
      <c r="J180" s="10">
        <f t="shared" si="14"/>
        <v>1.3240648811129919E-4</v>
      </c>
      <c r="K180" s="10">
        <f t="shared" si="15"/>
        <v>5.4350423517189918E-2</v>
      </c>
      <c r="L180" s="10">
        <f t="shared" si="16"/>
        <v>3.8689033964436448E-3</v>
      </c>
      <c r="M180" s="10">
        <f t="shared" si="17"/>
        <v>7.2733536839567079E-3</v>
      </c>
      <c r="N180" s="10">
        <f t="shared" si="19"/>
        <v>1.5169185507700822E-2</v>
      </c>
      <c r="P180" s="28">
        <f t="shared" si="20"/>
        <v>7584.5927538504111</v>
      </c>
    </row>
    <row r="181" spans="1:16" ht="15" x14ac:dyDescent="0.2">
      <c r="A181" s="4">
        <v>166</v>
      </c>
      <c r="B181" s="62">
        <v>45939</v>
      </c>
      <c r="C181" s="9">
        <f>$E$5*(1+'Nestlé India Limited'!B229/100)</f>
        <v>1776.7068020127933</v>
      </c>
      <c r="D181" s="9">
        <f>$E$6*(1+'Pidilite Industries Limited'!B229/100)</f>
        <v>3020.8</v>
      </c>
      <c r="E181" s="9">
        <f>$E$7*(1+'Divi''s Laboratories Limited'!B229/100)</f>
        <v>6132</v>
      </c>
      <c r="F181" s="9">
        <f>$E$8*(1+'Bosch Limited'!B229/100)</f>
        <v>38471.54456271846</v>
      </c>
      <c r="G181" s="9">
        <f>$E$9*(1+'UltraTech Cement Limited'!B229/100)</f>
        <v>12191.999999999998</v>
      </c>
      <c r="I181" s="10">
        <f t="shared" si="18"/>
        <v>6.3355508421915115E-3</v>
      </c>
      <c r="J181" s="10">
        <f t="shared" si="14"/>
        <v>1.1118253074989466E-2</v>
      </c>
      <c r="K181" s="10">
        <f t="shared" si="15"/>
        <v>1.8771684761375014E-3</v>
      </c>
      <c r="L181" s="10">
        <f t="shared" si="16"/>
        <v>3.9165552641892134E-3</v>
      </c>
      <c r="M181" s="10">
        <f t="shared" si="17"/>
        <v>1.6623630546994179E-2</v>
      </c>
      <c r="N181" s="10">
        <f t="shared" si="19"/>
        <v>7.9742316409003745E-3</v>
      </c>
      <c r="P181" s="28">
        <f t="shared" si="20"/>
        <v>3987.1158204501871</v>
      </c>
    </row>
    <row r="182" spans="1:16" ht="15" x14ac:dyDescent="0.2">
      <c r="A182" s="4">
        <v>167</v>
      </c>
      <c r="B182" s="62">
        <v>45938</v>
      </c>
      <c r="C182" s="9">
        <f>$E$5*(1+'Nestlé India Limited'!B230/100)</f>
        <v>1765.4859683509717</v>
      </c>
      <c r="D182" s="9">
        <f>$E$6*(1+'Pidilite Industries Limited'!B230/100)</f>
        <v>2987.4</v>
      </c>
      <c r="E182" s="9">
        <f>$E$7*(1+'Divi''s Laboratories Limited'!B230/100)</f>
        <v>6120.5</v>
      </c>
      <c r="F182" s="9">
        <f>$E$8*(1+'Bosch Limited'!B230/100)</f>
        <v>38321.163312807701</v>
      </c>
      <c r="G182" s="9">
        <f>$E$9*(1+'UltraTech Cement Limited'!B230/100)</f>
        <v>11991</v>
      </c>
      <c r="I182" s="10">
        <f t="shared" si="18"/>
        <v>3.0978827635209432E-3</v>
      </c>
      <c r="J182" s="10">
        <f t="shared" si="14"/>
        <v>1.538180499094942E-2</v>
      </c>
      <c r="K182" s="10">
        <f t="shared" si="15"/>
        <v>2.6175884066569769E-3</v>
      </c>
      <c r="L182" s="10">
        <f t="shared" si="16"/>
        <v>-1.2093404128044301E-2</v>
      </c>
      <c r="M182" s="10">
        <f t="shared" si="17"/>
        <v>-1.5967247195564492E-2</v>
      </c>
      <c r="N182" s="10">
        <f t="shared" si="19"/>
        <v>-1.3926750324962903E-3</v>
      </c>
      <c r="P182" s="28">
        <f t="shared" si="20"/>
        <v>-696.33751624814511</v>
      </c>
    </row>
    <row r="183" spans="1:16" ht="15" x14ac:dyDescent="0.2">
      <c r="A183" s="4">
        <v>168</v>
      </c>
      <c r="B183" s="62">
        <v>45937</v>
      </c>
      <c r="C183" s="9">
        <f>$E$5*(1+'Nestlé India Limited'!B231/100)</f>
        <v>1760.0251626355523</v>
      </c>
      <c r="D183" s="9">
        <f>$E$6*(1+'Pidilite Industries Limited'!B231/100)</f>
        <v>2941.8</v>
      </c>
      <c r="E183" s="9">
        <f>$E$7*(1+'Divi''s Laboratories Limited'!B231/100)</f>
        <v>6104.5</v>
      </c>
      <c r="F183" s="9">
        <f>$E$8*(1+'Bosch Limited'!B231/100)</f>
        <v>38787.410201041144</v>
      </c>
      <c r="G183" s="9">
        <f>$E$9*(1+'UltraTech Cement Limited'!B231/100)</f>
        <v>12184</v>
      </c>
      <c r="I183" s="10">
        <f t="shared" si="18"/>
        <v>-4.1989246296445515E-3</v>
      </c>
      <c r="J183" s="10">
        <f t="shared" si="14"/>
        <v>-1.2230295358711649E-2</v>
      </c>
      <c r="K183" s="10">
        <f t="shared" si="15"/>
        <v>4.6609727095592107E-2</v>
      </c>
      <c r="L183" s="10">
        <f t="shared" si="16"/>
        <v>-1.2614737462413219E-3</v>
      </c>
      <c r="M183" s="10">
        <f t="shared" si="17"/>
        <v>1.0644103959726401E-2</v>
      </c>
      <c r="N183" s="10">
        <f t="shared" si="19"/>
        <v>7.9126274641441972E-3</v>
      </c>
      <c r="P183" s="28">
        <f t="shared" si="20"/>
        <v>3956.3137320720984</v>
      </c>
    </row>
    <row r="184" spans="1:16" ht="15" x14ac:dyDescent="0.2">
      <c r="A184" s="4">
        <v>169</v>
      </c>
      <c r="B184" s="62">
        <v>45936</v>
      </c>
      <c r="C184" s="9">
        <f>$E$5*(1+'Nestlé India Limited'!B232/100)</f>
        <v>1767.4309128523544</v>
      </c>
      <c r="D184" s="9">
        <f>$E$6*(1+'Pidilite Industries Limited'!B232/100)</f>
        <v>2978</v>
      </c>
      <c r="E184" s="9">
        <f>$E$7*(1+'Divi''s Laboratories Limited'!B232/100)</f>
        <v>5826.5</v>
      </c>
      <c r="F184" s="9">
        <f>$E$8*(1+'Bosch Limited'!B232/100)</f>
        <v>38836.370375189006</v>
      </c>
      <c r="G184" s="9">
        <f>$E$9*(1+'UltraTech Cement Limited'!B232/100)</f>
        <v>12055</v>
      </c>
      <c r="I184" s="10">
        <f t="shared" si="18"/>
        <v>9.9105466528229928E-3</v>
      </c>
      <c r="J184" s="10">
        <f t="shared" si="14"/>
        <v>-4.0287383879358238E-4</v>
      </c>
      <c r="K184" s="10">
        <f t="shared" si="15"/>
        <v>-6.7564935240783481E-3</v>
      </c>
      <c r="L184" s="10">
        <f t="shared" si="16"/>
        <v>5.7882833614061021E-3</v>
      </c>
      <c r="M184" s="10">
        <f t="shared" si="17"/>
        <v>2.9907806624826653E-3</v>
      </c>
      <c r="N184" s="10">
        <f t="shared" si="19"/>
        <v>2.3060486627679662E-3</v>
      </c>
      <c r="P184" s="28">
        <f t="shared" si="20"/>
        <v>1153.0243313839831</v>
      </c>
    </row>
    <row r="185" spans="1:16" ht="15" x14ac:dyDescent="0.2">
      <c r="A185" s="4">
        <v>170</v>
      </c>
      <c r="B185" s="62">
        <v>45933</v>
      </c>
      <c r="C185" s="9">
        <f>$E$5*(1+'Nestlé India Limited'!B233/100)</f>
        <v>1750.0012178976588</v>
      </c>
      <c r="D185" s="9">
        <f>$E$6*(1+'Pidilite Industries Limited'!B233/100)</f>
        <v>2979.2</v>
      </c>
      <c r="E185" s="9">
        <f>$E$7*(1+'Divi''s Laboratories Limited'!B233/100)</f>
        <v>5866</v>
      </c>
      <c r="F185" s="9">
        <f>$E$8*(1+'Bosch Limited'!B233/100)</f>
        <v>38612.223796505932</v>
      </c>
      <c r="G185" s="9">
        <f>$E$9*(1+'UltraTech Cement Limited'!B233/100)</f>
        <v>12019</v>
      </c>
      <c r="I185" s="10">
        <f t="shared" si="18"/>
        <v>3.0395810803086282E-3</v>
      </c>
      <c r="J185" s="10">
        <f t="shared" si="14"/>
        <v>9.5784880726006161E-3</v>
      </c>
      <c r="K185" s="10">
        <f t="shared" si="15"/>
        <v>2.6953946887340346E-2</v>
      </c>
      <c r="L185" s="10">
        <f t="shared" si="16"/>
        <v>6.9260283923170511E-3</v>
      </c>
      <c r="M185" s="10">
        <f t="shared" si="17"/>
        <v>-6.3034130913388895E-3</v>
      </c>
      <c r="N185" s="10">
        <f t="shared" si="19"/>
        <v>8.0389262682455508E-3</v>
      </c>
      <c r="P185" s="28">
        <f t="shared" si="20"/>
        <v>4019.4631341227755</v>
      </c>
    </row>
    <row r="186" spans="1:16" ht="15" x14ac:dyDescent="0.2">
      <c r="A186" s="4">
        <v>171</v>
      </c>
      <c r="B186" s="62">
        <v>45931</v>
      </c>
      <c r="C186" s="9">
        <f>$E$5*(1+'Nestlé India Limited'!B235/100)</f>
        <v>1744.69002329773</v>
      </c>
      <c r="D186" s="9">
        <f>$E$6*(1+'Pidilite Industries Limited'!B235/100)</f>
        <v>2950.8</v>
      </c>
      <c r="E186" s="9">
        <f>$E$7*(1+'Divi''s Laboratories Limited'!B235/100)</f>
        <v>5710</v>
      </c>
      <c r="F186" s="9">
        <f>$E$8*(1+'Bosch Limited'!B235/100)</f>
        <v>38345.718415470219</v>
      </c>
      <c r="G186" s="9">
        <f>$E$9*(1+'UltraTech Cement Limited'!B235/100)</f>
        <v>12095.000000000002</v>
      </c>
      <c r="I186" s="10">
        <f t="shared" si="18"/>
        <v>1.1427217337444825E-2</v>
      </c>
      <c r="J186" s="10">
        <f t="shared" si="14"/>
        <v>5.0282092757409835E-3</v>
      </c>
      <c r="K186" s="10">
        <f t="shared" si="15"/>
        <v>3.5966528529926527E-3</v>
      </c>
      <c r="L186" s="10">
        <f t="shared" si="16"/>
        <v>4.1075172412599137E-3</v>
      </c>
      <c r="M186" s="10">
        <f t="shared" si="17"/>
        <v>-1.044546241073304E-2</v>
      </c>
      <c r="N186" s="10">
        <f t="shared" si="19"/>
        <v>2.7428268593410673E-3</v>
      </c>
      <c r="P186" s="28">
        <f t="shared" si="20"/>
        <v>1371.4134296705336</v>
      </c>
    </row>
    <row r="187" spans="1:16" ht="15" x14ac:dyDescent="0.2">
      <c r="A187" s="4">
        <v>172</v>
      </c>
      <c r="B187" s="62">
        <v>45930</v>
      </c>
      <c r="C187" s="9">
        <f>$E$5*(1+'Nestlé India Limited'!B236/100)</f>
        <v>1724.8665504951787</v>
      </c>
      <c r="D187" s="9">
        <f>$E$6*(1+'Pidilite Industries Limited'!B236/100)</f>
        <v>2936</v>
      </c>
      <c r="E187" s="9">
        <f>$E$7*(1+'Divi''s Laboratories Limited'!B236/100)</f>
        <v>5689.5</v>
      </c>
      <c r="F187" s="9">
        <f>$E$8*(1+'Bosch Limited'!B236/100)</f>
        <v>38188.535752194701</v>
      </c>
      <c r="G187" s="9">
        <f>$E$9*(1+'UltraTech Cement Limited'!B236/100)</f>
        <v>12222</v>
      </c>
      <c r="I187" s="10">
        <f t="shared" si="18"/>
        <v>4.3378302853434793E-4</v>
      </c>
      <c r="J187" s="10">
        <f t="shared" si="14"/>
        <v>8.1777297728992328E-4</v>
      </c>
      <c r="K187" s="10">
        <f t="shared" si="15"/>
        <v>-1.4051113227759825E-3</v>
      </c>
      <c r="L187" s="10">
        <f t="shared" si="16"/>
        <v>-4.0840414096273902E-3</v>
      </c>
      <c r="M187" s="10">
        <f t="shared" si="17"/>
        <v>1.4920113562641911E-2</v>
      </c>
      <c r="N187" s="10">
        <f t="shared" si="19"/>
        <v>2.1365033672125621E-3</v>
      </c>
      <c r="P187" s="28">
        <f t="shared" si="20"/>
        <v>1068.2516836062809</v>
      </c>
    </row>
    <row r="188" spans="1:16" ht="15" x14ac:dyDescent="0.2">
      <c r="A188" s="4">
        <v>173</v>
      </c>
      <c r="B188" s="62">
        <v>45929</v>
      </c>
      <c r="C188" s="9">
        <f>$E$5*(1+'Nestlé India Limited'!B237/100)</f>
        <v>1724.1184949177241</v>
      </c>
      <c r="D188" s="9">
        <f>$E$6*(1+'Pidilite Industries Limited'!B237/100)</f>
        <v>2933.6</v>
      </c>
      <c r="E188" s="9">
        <f>$E$7*(1+'Divi''s Laboratories Limited'!B237/100)</f>
        <v>5697.5</v>
      </c>
      <c r="F188" s="9">
        <f>$E$8*(1+'Bosch Limited'!B237/100)</f>
        <v>38344.818228407232</v>
      </c>
      <c r="G188" s="9">
        <f>$E$9*(1+'UltraTech Cement Limited'!B237/100)</f>
        <v>12041</v>
      </c>
      <c r="I188" s="10">
        <f t="shared" si="18"/>
        <v>-8.7261342511378501E-3</v>
      </c>
      <c r="J188" s="10">
        <f t="shared" si="14"/>
        <v>-5.4392301628185032E-3</v>
      </c>
      <c r="K188" s="10">
        <f t="shared" si="15"/>
        <v>1.405111322776053E-3</v>
      </c>
      <c r="L188" s="10">
        <f t="shared" si="16"/>
        <v>4.6066946398048408E-3</v>
      </c>
      <c r="M188" s="10">
        <f t="shared" si="17"/>
        <v>-2.4055421993581126E-3</v>
      </c>
      <c r="N188" s="10">
        <f t="shared" si="19"/>
        <v>-2.1118201301467141E-3</v>
      </c>
      <c r="P188" s="28">
        <f t="shared" si="20"/>
        <v>-1055.9100650733571</v>
      </c>
    </row>
    <row r="189" spans="1:16" ht="15" x14ac:dyDescent="0.2">
      <c r="A189" s="4">
        <v>174</v>
      </c>
      <c r="B189" s="62">
        <v>45926</v>
      </c>
      <c r="C189" s="9">
        <f>$E$5*(1+'Nestlé India Limited'!B238/100)</f>
        <v>1739.22921758231</v>
      </c>
      <c r="D189" s="9">
        <f>$E$6*(1+'Pidilite Industries Limited'!B238/100)</f>
        <v>2949.6</v>
      </c>
      <c r="E189" s="9">
        <f>$E$7*(1+'Divi''s Laboratories Limited'!B238/100)</f>
        <v>5689.5</v>
      </c>
      <c r="F189" s="9">
        <f>$E$8*(1+'Bosch Limited'!B238/100)</f>
        <v>38168.58160563188</v>
      </c>
      <c r="G189" s="9">
        <f>$E$9*(1+'UltraTech Cement Limited'!B238/100)</f>
        <v>12070</v>
      </c>
      <c r="I189" s="10">
        <f t="shared" si="18"/>
        <v>-9.2474329680667343E-3</v>
      </c>
      <c r="J189" s="10">
        <f t="shared" si="14"/>
        <v>-1.4071937305291505E-2</v>
      </c>
      <c r="K189" s="10">
        <f t="shared" si="15"/>
        <v>-3.5821376203440829E-2</v>
      </c>
      <c r="L189" s="10">
        <f t="shared" si="16"/>
        <v>-8.7949180495290203E-3</v>
      </c>
      <c r="M189" s="10">
        <f t="shared" si="17"/>
        <v>-5.865119452397911E-3</v>
      </c>
      <c r="N189" s="10">
        <f t="shared" si="19"/>
        <v>-1.4760156795745201E-2</v>
      </c>
      <c r="P189" s="28">
        <f t="shared" si="20"/>
        <v>-7380.0783978726004</v>
      </c>
    </row>
    <row r="190" spans="1:16" ht="15" x14ac:dyDescent="0.2">
      <c r="A190" s="4">
        <v>175</v>
      </c>
      <c r="B190" s="62">
        <v>45925</v>
      </c>
      <c r="C190" s="9">
        <f>$E$5*(1+'Nestlé India Limited'!B239/100)</f>
        <v>1755.3872180553326</v>
      </c>
      <c r="D190" s="9">
        <f>$E$6*(1+'Pidilite Industries Limited'!B239/100)</f>
        <v>2991.4</v>
      </c>
      <c r="E190" s="9">
        <f>$E$7*(1+'Divi''s Laboratories Limited'!B239/100)</f>
        <v>5897</v>
      </c>
      <c r="F190" s="9">
        <f>$E$8*(1+'Bosch Limited'!B239/100)</f>
        <v>38505.751671111859</v>
      </c>
      <c r="G190" s="9">
        <f>$E$9*(1+'UltraTech Cement Limited'!B239/100)</f>
        <v>12140.999999999998</v>
      </c>
      <c r="I190" s="10">
        <f t="shared" si="18"/>
        <v>-5.3127183632629754E-3</v>
      </c>
      <c r="J190" s="10">
        <f t="shared" si="14"/>
        <v>-1.5787008691566837E-2</v>
      </c>
      <c r="K190" s="10">
        <f t="shared" si="15"/>
        <v>-1.4645493653809027E-2</v>
      </c>
      <c r="L190" s="10">
        <f t="shared" si="16"/>
        <v>-6.6922350885285434E-3</v>
      </c>
      <c r="M190" s="10">
        <f t="shared" si="17"/>
        <v>-5.9946802391049768E-3</v>
      </c>
      <c r="N190" s="10">
        <f t="shared" si="19"/>
        <v>-9.6864272072544715E-3</v>
      </c>
      <c r="P190" s="28">
        <f t="shared" si="20"/>
        <v>-4843.2136036272359</v>
      </c>
    </row>
    <row r="191" spans="1:16" ht="15" x14ac:dyDescent="0.2">
      <c r="A191" s="4">
        <v>176</v>
      </c>
      <c r="B191" s="62">
        <v>45924</v>
      </c>
      <c r="C191" s="9">
        <f>$E$5*(1+'Nestlé India Limited'!B240/100)</f>
        <v>1764.7379127735171</v>
      </c>
      <c r="D191" s="9">
        <f>$E$6*(1+'Pidilite Industries Limited'!B240/100)</f>
        <v>3039</v>
      </c>
      <c r="E191" s="9">
        <f>$E$7*(1+'Divi''s Laboratories Limited'!B240/100)</f>
        <v>5984</v>
      </c>
      <c r="F191" s="9">
        <f>$E$8*(1+'Bosch Limited'!B240/100)</f>
        <v>38764.305399757883</v>
      </c>
      <c r="G191" s="9">
        <f>$E$9*(1+'UltraTech Cement Limited'!B240/100)</f>
        <v>12214</v>
      </c>
      <c r="I191" s="10">
        <f t="shared" si="18"/>
        <v>9.4121348139284671E-3</v>
      </c>
      <c r="J191" s="10">
        <f t="shared" si="14"/>
        <v>2.0075122465025838E-2</v>
      </c>
      <c r="K191" s="10">
        <f t="shared" si="15"/>
        <v>-1.1134306968008292E-2</v>
      </c>
      <c r="L191" s="10">
        <f t="shared" si="16"/>
        <v>-1.6480128345371527E-2</v>
      </c>
      <c r="M191" s="10">
        <f t="shared" si="17"/>
        <v>-1.5194279719692108E-2</v>
      </c>
      <c r="N191" s="10">
        <f t="shared" si="19"/>
        <v>-2.6642915508235244E-3</v>
      </c>
      <c r="P191" s="28">
        <f t="shared" si="20"/>
        <v>-1332.1457754117623</v>
      </c>
    </row>
    <row r="192" spans="1:16" ht="15" x14ac:dyDescent="0.2">
      <c r="A192" s="4">
        <v>177</v>
      </c>
      <c r="B192" s="62">
        <v>45923</v>
      </c>
      <c r="C192" s="9">
        <f>$E$5*(1+'Nestlé India Limited'!B241/100)</f>
        <v>1748.205884511767</v>
      </c>
      <c r="D192" s="9">
        <f>$E$6*(1+'Pidilite Industries Limited'!B241/100)</f>
        <v>2978.6</v>
      </c>
      <c r="E192" s="9">
        <f>$E$7*(1+'Divi''s Laboratories Limited'!B241/100)</f>
        <v>6051</v>
      </c>
      <c r="F192" s="9">
        <f>$E$8*(1+'Bosch Limited'!B241/100)</f>
        <v>39408.439253715478</v>
      </c>
      <c r="G192" s="9">
        <f>$E$9*(1+'UltraTech Cement Limited'!B241/100)</f>
        <v>12400.999999999998</v>
      </c>
      <c r="I192" s="10">
        <f t="shared" si="18"/>
        <v>-1.6381981602847387E-2</v>
      </c>
      <c r="J192" s="10">
        <f t="shared" si="14"/>
        <v>-1.9746012703950978E-2</v>
      </c>
      <c r="K192" s="10">
        <f t="shared" si="15"/>
        <v>-6.8349588770398239E-3</v>
      </c>
      <c r="L192" s="10">
        <f t="shared" si="16"/>
        <v>-3.9110985339068658E-3</v>
      </c>
      <c r="M192" s="10">
        <f t="shared" si="17"/>
        <v>-1.9880100652894118E-2</v>
      </c>
      <c r="N192" s="10">
        <f t="shared" si="19"/>
        <v>-1.3350830474127835E-2</v>
      </c>
      <c r="P192" s="28">
        <f t="shared" si="20"/>
        <v>-6675.4152370639176</v>
      </c>
    </row>
    <row r="193" spans="1:16" ht="15" x14ac:dyDescent="0.2">
      <c r="A193" s="4">
        <v>178</v>
      </c>
      <c r="B193" s="62">
        <v>45922</v>
      </c>
      <c r="C193" s="9">
        <f>$E$5*(1+'Nestlé India Limited'!B242/100)</f>
        <v>1777.0808298015208</v>
      </c>
      <c r="D193" s="9">
        <f>$E$6*(1+'Pidilite Industries Limited'!B242/100)</f>
        <v>3038</v>
      </c>
      <c r="E193" s="9">
        <f>$E$7*(1+'Divi''s Laboratories Limited'!B242/100)</f>
        <v>6092.5</v>
      </c>
      <c r="F193" s="9">
        <f>$E$8*(1+'Bosch Limited'!B242/100)</f>
        <v>39562.871345409658</v>
      </c>
      <c r="G193" s="9">
        <f>$E$9*(1+'UltraTech Cement Limited'!B242/100)</f>
        <v>12650</v>
      </c>
      <c r="I193" s="10">
        <f t="shared" si="18"/>
        <v>-6.1688439190492423E-3</v>
      </c>
      <c r="J193" s="10">
        <f t="shared" si="14"/>
        <v>-3.3846540042273038E-3</v>
      </c>
      <c r="K193" s="10">
        <f t="shared" si="15"/>
        <v>-1.7490785533821628E-2</v>
      </c>
      <c r="L193" s="10">
        <f t="shared" si="16"/>
        <v>-5.846912187390545E-3</v>
      </c>
      <c r="M193" s="10">
        <f t="shared" si="17"/>
        <v>1.1288775577934538E-2</v>
      </c>
      <c r="N193" s="10">
        <f t="shared" si="19"/>
        <v>-4.3204840133108362E-3</v>
      </c>
      <c r="P193" s="28">
        <f t="shared" si="20"/>
        <v>-2160.2420066554182</v>
      </c>
    </row>
    <row r="194" spans="1:16" ht="15" x14ac:dyDescent="0.2">
      <c r="A194" s="4">
        <v>179</v>
      </c>
      <c r="B194" s="62">
        <v>45919</v>
      </c>
      <c r="C194" s="9">
        <f>$E$5*(1+'Nestlé India Limited'!B243/100)</f>
        <v>1788.0772467901056</v>
      </c>
      <c r="D194" s="9">
        <f>$E$6*(1+'Pidilite Industries Limited'!B243/100)</f>
        <v>3048.3</v>
      </c>
      <c r="E194" s="9">
        <f>$E$7*(1+'Divi''s Laboratories Limited'!B243/100)</f>
        <v>6200</v>
      </c>
      <c r="F194" s="9">
        <f>$E$8*(1+'Bosch Limited'!B243/100)</f>
        <v>39794.869555697645</v>
      </c>
      <c r="G194" s="9">
        <f>$E$9*(1+'UltraTech Cement Limited'!B243/100)</f>
        <v>12507.999999999998</v>
      </c>
      <c r="I194" s="10">
        <f t="shared" si="18"/>
        <v>-1.1149593390505412E-2</v>
      </c>
      <c r="J194" s="10">
        <f t="shared" si="14"/>
        <v>-1.9336343591357667E-3</v>
      </c>
      <c r="K194" s="10">
        <f t="shared" si="15"/>
        <v>1.4295240186826532E-2</v>
      </c>
      <c r="L194" s="10">
        <f t="shared" si="16"/>
        <v>-1.8958256095384196E-3</v>
      </c>
      <c r="M194" s="10">
        <f t="shared" si="17"/>
        <v>-9.3897403498391426E-3</v>
      </c>
      <c r="N194" s="10">
        <f t="shared" si="19"/>
        <v>-2.0147107044384419E-3</v>
      </c>
      <c r="P194" s="28">
        <f t="shared" si="20"/>
        <v>-1007.3553522192209</v>
      </c>
    </row>
    <row r="195" spans="1:16" ht="15" x14ac:dyDescent="0.2">
      <c r="A195" s="4">
        <v>180</v>
      </c>
      <c r="B195" s="62">
        <v>45918</v>
      </c>
      <c r="C195" s="9">
        <f>$E$5*(1+'Nestlé India Limited'!B244/100)</f>
        <v>1808.1251362658929</v>
      </c>
      <c r="D195" s="9">
        <f>$E$6*(1+'Pidilite Industries Limited'!B244/100)</f>
        <v>3054.2000000000003</v>
      </c>
      <c r="E195" s="9">
        <f>$E$7*(1+'Divi''s Laboratories Limited'!B244/100)</f>
        <v>6112</v>
      </c>
      <c r="F195" s="9">
        <f>$E$8*(1+'Bosch Limited'!B244/100)</f>
        <v>39870.385248203544</v>
      </c>
      <c r="G195" s="9">
        <f>$E$9*(1+'UltraTech Cement Limited'!B244/100)</f>
        <v>12626</v>
      </c>
      <c r="I195" s="10">
        <f t="shared" si="18"/>
        <v>3.6058478609671562E-3</v>
      </c>
      <c r="J195" s="10">
        <f t="shared" si="14"/>
        <v>-2.5506046985477818E-3</v>
      </c>
      <c r="K195" s="10">
        <f t="shared" si="15"/>
        <v>9.9478766676980059E-3</v>
      </c>
      <c r="L195" s="10">
        <f t="shared" si="16"/>
        <v>1.6319524782080204E-3</v>
      </c>
      <c r="M195" s="10">
        <f t="shared" si="17"/>
        <v>-7.4959912286400501E-3</v>
      </c>
      <c r="N195" s="10">
        <f t="shared" si="19"/>
        <v>1.0278162159370703E-3</v>
      </c>
      <c r="P195" s="28">
        <f t="shared" si="20"/>
        <v>513.90810796853509</v>
      </c>
    </row>
    <row r="196" spans="1:16" ht="15" x14ac:dyDescent="0.2">
      <c r="A196" s="4">
        <v>181</v>
      </c>
      <c r="B196" s="62">
        <v>45917</v>
      </c>
      <c r="C196" s="9">
        <f>$E$5*(1+'Nestlé India Limited'!B245/100)</f>
        <v>1801.6170527420368</v>
      </c>
      <c r="D196" s="9">
        <f>$E$6*(1+'Pidilite Industries Limited'!B245/100)</f>
        <v>3062</v>
      </c>
      <c r="E196" s="9">
        <f>$E$7*(1+'Divi''s Laboratories Limited'!B245/100)</f>
        <v>6051.5</v>
      </c>
      <c r="F196" s="9">
        <f>$E$8*(1+'Bosch Limited'!B245/100)</f>
        <v>39805.371738099129</v>
      </c>
      <c r="G196" s="9">
        <f>$E$9*(1+'UltraTech Cement Limited'!B245/100)</f>
        <v>12721</v>
      </c>
      <c r="I196" s="10">
        <f t="shared" si="18"/>
        <v>-1.6607157723134094E-4</v>
      </c>
      <c r="J196" s="10">
        <f t="shared" si="14"/>
        <v>-3.9113478809121253E-3</v>
      </c>
      <c r="K196" s="10">
        <f t="shared" si="15"/>
        <v>-7.9006254101337495E-3</v>
      </c>
      <c r="L196" s="10">
        <f t="shared" si="16"/>
        <v>-1.5679798935749707E-3</v>
      </c>
      <c r="M196" s="10">
        <f t="shared" si="17"/>
        <v>1.1304915052762363E-2</v>
      </c>
      <c r="N196" s="10">
        <f t="shared" si="19"/>
        <v>-4.4822194181796471E-4</v>
      </c>
      <c r="P196" s="28">
        <f t="shared" si="20"/>
        <v>-224.11097090898235</v>
      </c>
    </row>
    <row r="197" spans="1:16" ht="15" x14ac:dyDescent="0.2">
      <c r="A197" s="4">
        <v>182</v>
      </c>
      <c r="B197" s="62">
        <v>45916</v>
      </c>
      <c r="C197" s="9">
        <f>$E$5*(1+'Nestlé India Limited'!B246/100)</f>
        <v>1801.9162749730187</v>
      </c>
      <c r="D197" s="9">
        <f>$E$6*(1+'Pidilite Industries Limited'!B246/100)</f>
        <v>3074</v>
      </c>
      <c r="E197" s="9">
        <f>$E$7*(1+'Divi''s Laboratories Limited'!B246/100)</f>
        <v>6099.5</v>
      </c>
      <c r="F197" s="9">
        <f>$E$8*(1+'Bosch Limited'!B246/100)</f>
        <v>39867.834718191763</v>
      </c>
      <c r="G197" s="9">
        <f>$E$9*(1+'UltraTech Cement Limited'!B246/100)</f>
        <v>12578</v>
      </c>
      <c r="I197" s="10">
        <f t="shared" si="18"/>
        <v>-6.2078583668629932E-3</v>
      </c>
      <c r="J197" s="10">
        <f t="shared" si="14"/>
        <v>-3.2530375240696807E-5</v>
      </c>
      <c r="K197" s="10">
        <f t="shared" si="15"/>
        <v>6.9921726078450578E-3</v>
      </c>
      <c r="L197" s="10">
        <f t="shared" si="16"/>
        <v>1.276948575640509E-2</v>
      </c>
      <c r="M197" s="10">
        <f t="shared" si="17"/>
        <v>1.1434178865943665E-2</v>
      </c>
      <c r="N197" s="10">
        <f t="shared" si="19"/>
        <v>4.9910896976180247E-3</v>
      </c>
      <c r="P197" s="28">
        <f t="shared" si="20"/>
        <v>2495.5448488090124</v>
      </c>
    </row>
    <row r="198" spans="1:16" ht="15" x14ac:dyDescent="0.2">
      <c r="A198" s="4">
        <v>183</v>
      </c>
      <c r="B198" s="62">
        <v>45915</v>
      </c>
      <c r="C198" s="9">
        <f>$E$5*(1+'Nestlé India Limited'!B247/100)</f>
        <v>1813.1371086348402</v>
      </c>
      <c r="D198" s="9">
        <f>$E$6*(1+'Pidilite Industries Limited'!B247/100)</f>
        <v>3074.1</v>
      </c>
      <c r="E198" s="9">
        <f>$E$7*(1+'Divi''s Laboratories Limited'!B247/100)</f>
        <v>6057</v>
      </c>
      <c r="F198" s="9">
        <f>$E$8*(1+'Bosch Limited'!B247/100)</f>
        <v>39361.97959918702</v>
      </c>
      <c r="G198" s="9">
        <f>$E$9*(1+'UltraTech Cement Limited'!B247/100)</f>
        <v>12435</v>
      </c>
      <c r="I198" s="10">
        <f t="shared" si="18"/>
        <v>-4.5691313771923777E-3</v>
      </c>
      <c r="J198" s="10">
        <f t="shared" si="14"/>
        <v>-1.5602148459965212E-3</v>
      </c>
      <c r="K198" s="10">
        <f t="shared" si="15"/>
        <v>5.0482169525489229E-3</v>
      </c>
      <c r="L198" s="10">
        <f t="shared" si="16"/>
        <v>-1.3262345260667652E-2</v>
      </c>
      <c r="M198" s="10">
        <f t="shared" si="17"/>
        <v>5.2408908509713826E-3</v>
      </c>
      <c r="N198" s="10">
        <f t="shared" si="19"/>
        <v>-1.8205167360672491E-3</v>
      </c>
      <c r="P198" s="28">
        <f t="shared" si="20"/>
        <v>-910.25836803362461</v>
      </c>
    </row>
    <row r="199" spans="1:16" ht="15" x14ac:dyDescent="0.2">
      <c r="A199" s="4">
        <v>184</v>
      </c>
      <c r="B199" s="62">
        <v>45912</v>
      </c>
      <c r="C199" s="9">
        <f>$E$5*(1+'Nestlé India Limited'!B248/100)</f>
        <v>1821.4405255445877</v>
      </c>
      <c r="D199" s="9">
        <f>$E$6*(1+'Pidilite Industries Limited'!B248/100)</f>
        <v>3078.9</v>
      </c>
      <c r="E199" s="9">
        <f>$E$7*(1+'Divi''s Laboratories Limited'!B248/100)</f>
        <v>6026.5</v>
      </c>
      <c r="F199" s="9">
        <f>$E$8*(1+'Bosch Limited'!B248/100)</f>
        <v>39887.488802400243</v>
      </c>
      <c r="G199" s="9">
        <f>$E$9*(1+'UltraTech Cement Limited'!B248/100)</f>
        <v>12370</v>
      </c>
      <c r="I199" s="10">
        <f t="shared" si="18"/>
        <v>-2.3382227861595841E-3</v>
      </c>
      <c r="J199" s="10">
        <f t="shared" si="14"/>
        <v>-2.9226947453418859E-4</v>
      </c>
      <c r="K199" s="10">
        <f t="shared" si="15"/>
        <v>1.8269395548189966E-3</v>
      </c>
      <c r="L199" s="10">
        <f t="shared" si="16"/>
        <v>-1.9027093285790209E-2</v>
      </c>
      <c r="M199" s="10">
        <f t="shared" si="17"/>
        <v>-1.7769167101711414E-3</v>
      </c>
      <c r="N199" s="10">
        <f t="shared" si="19"/>
        <v>-4.3215125403672254E-3</v>
      </c>
      <c r="P199" s="28">
        <f t="shared" si="20"/>
        <v>-2160.7562701836127</v>
      </c>
    </row>
    <row r="200" spans="1:16" ht="15" x14ac:dyDescent="0.2">
      <c r="A200" s="4">
        <v>185</v>
      </c>
      <c r="B200" s="62">
        <v>45911</v>
      </c>
      <c r="C200" s="9">
        <f>$E$5*(1+'Nestlé India Limited'!B249/100)</f>
        <v>1825.7044423360799</v>
      </c>
      <c r="D200" s="9">
        <f>$E$6*(1+'Pidilite Industries Limited'!B249/100)</f>
        <v>3079.8</v>
      </c>
      <c r="E200" s="9">
        <f>$E$7*(1+'Divi''s Laboratories Limited'!B249/100)</f>
        <v>6015.5</v>
      </c>
      <c r="F200" s="9">
        <f>$E$8*(1+'Bosch Limited'!B249/100)</f>
        <v>40653.698024176971</v>
      </c>
      <c r="G200" s="9">
        <f>$E$9*(1+'UltraTech Cement Limited'!B249/100)</f>
        <v>12392.000000000002</v>
      </c>
      <c r="I200" s="10">
        <f t="shared" si="18"/>
        <v>2.7490016286100928E-3</v>
      </c>
      <c r="J200" s="10">
        <f t="shared" si="14"/>
        <v>2.9916775695137568E-3</v>
      </c>
      <c r="K200" s="10">
        <f t="shared" si="15"/>
        <v>-2.6562645318591628E-3</v>
      </c>
      <c r="L200" s="10">
        <f t="shared" si="16"/>
        <v>-8.7535013301531465E-3</v>
      </c>
      <c r="M200" s="10">
        <f t="shared" si="17"/>
        <v>-6.9159905740270667E-3</v>
      </c>
      <c r="N200" s="10">
        <f t="shared" si="19"/>
        <v>-2.5170154475831052E-3</v>
      </c>
      <c r="P200" s="28">
        <f t="shared" si="20"/>
        <v>-1258.5077237915525</v>
      </c>
    </row>
    <row r="201" spans="1:16" ht="15" x14ac:dyDescent="0.2">
      <c r="A201" s="4">
        <v>186</v>
      </c>
      <c r="B201" s="62">
        <v>45910</v>
      </c>
      <c r="C201" s="9">
        <f>$E$5*(1+'Nestlé India Limited'!B250/100)</f>
        <v>1820.6924699671331</v>
      </c>
      <c r="D201" s="9">
        <f>$E$6*(1+'Pidilite Industries Limited'!B250/100)</f>
        <v>3070.6000000000004</v>
      </c>
      <c r="E201" s="9">
        <f>$E$7*(1+'Divi''s Laboratories Limited'!B250/100)</f>
        <v>6031.5</v>
      </c>
      <c r="F201" s="9">
        <f>$E$8*(1+'Bosch Limited'!B250/100)</f>
        <v>41011.122298574097</v>
      </c>
      <c r="G201" s="9">
        <f>$E$9*(1+'UltraTech Cement Limited'!B250/100)</f>
        <v>12478.000000000002</v>
      </c>
      <c r="I201" s="10">
        <f t="shared" si="18"/>
        <v>1.2568900735113563E-2</v>
      </c>
      <c r="J201" s="10">
        <f t="shared" si="14"/>
        <v>-9.5613867926748006E-3</v>
      </c>
      <c r="K201" s="10">
        <f t="shared" si="15"/>
        <v>4.8196869100301026E-3</v>
      </c>
      <c r="L201" s="10">
        <f t="shared" si="16"/>
        <v>-1.2035056080540429E-2</v>
      </c>
      <c r="M201" s="10">
        <f t="shared" si="17"/>
        <v>-7.5050252467263904E-3</v>
      </c>
      <c r="N201" s="10">
        <f t="shared" si="19"/>
        <v>-2.3425760949595913E-3</v>
      </c>
      <c r="P201" s="28">
        <f t="shared" si="20"/>
        <v>-1171.2880474797955</v>
      </c>
    </row>
    <row r="202" spans="1:16" ht="15" x14ac:dyDescent="0.2">
      <c r="A202" s="4">
        <v>187</v>
      </c>
      <c r="B202" s="62">
        <v>45909</v>
      </c>
      <c r="C202" s="9">
        <f>$E$5*(1+'Nestlé India Limited'!B251/100)</f>
        <v>1797.9515804125085</v>
      </c>
      <c r="D202" s="9">
        <f>$E$6*(1+'Pidilite Industries Limited'!B251/100)</f>
        <v>3100.1</v>
      </c>
      <c r="E202" s="9">
        <f>$E$7*(1+'Divi''s Laboratories Limited'!B251/100)</f>
        <v>6002.5</v>
      </c>
      <c r="F202" s="9">
        <f>$E$8*(1+'Bosch Limited'!B251/100)</f>
        <v>41507.675484594671</v>
      </c>
      <c r="G202" s="9">
        <f>$E$9*(1+'UltraTech Cement Limited'!B251/100)</f>
        <v>12572</v>
      </c>
      <c r="I202" s="10">
        <f t="shared" si="18"/>
        <v>1.1549695279272789E-2</v>
      </c>
      <c r="J202" s="10">
        <f t="shared" si="14"/>
        <v>-1.1927982200509552E-3</v>
      </c>
      <c r="K202" s="10">
        <f t="shared" si="15"/>
        <v>-4.1562819599178669E-3</v>
      </c>
      <c r="L202" s="10">
        <f t="shared" si="16"/>
        <v>3.078297434276954E-3</v>
      </c>
      <c r="M202" s="10">
        <f t="shared" si="17"/>
        <v>-7.291203643389841E-3</v>
      </c>
      <c r="N202" s="10">
        <f t="shared" si="19"/>
        <v>3.9754177803821584E-4</v>
      </c>
      <c r="P202" s="28">
        <f t="shared" si="20"/>
        <v>198.77088901910793</v>
      </c>
    </row>
    <row r="203" spans="1:16" ht="15" x14ac:dyDescent="0.2">
      <c r="A203" s="4">
        <v>188</v>
      </c>
      <c r="B203" s="62">
        <v>45908</v>
      </c>
      <c r="C203" s="9">
        <f>$E$5*(1+'Nestlé India Limited'!B252/100)</f>
        <v>1777.3052464747575</v>
      </c>
      <c r="D203" s="9">
        <f>$E$6*(1+'Pidilite Industries Limited'!B252/100)</f>
        <v>3103.8</v>
      </c>
      <c r="E203" s="9">
        <f>$E$7*(1+'Divi''s Laboratories Limited'!B252/100)</f>
        <v>6027.5</v>
      </c>
      <c r="F203" s="9">
        <f>$E$8*(1+'Bosch Limited'!B252/100)</f>
        <v>41380.098973612854</v>
      </c>
      <c r="G203" s="9">
        <f>$E$9*(1+'UltraTech Cement Limited'!B252/100)</f>
        <v>12664</v>
      </c>
      <c r="I203" s="10">
        <f t="shared" si="18"/>
        <v>-1.8143262471005138E-2</v>
      </c>
      <c r="J203" s="10">
        <f t="shared" si="14"/>
        <v>2.8069514630845822E-3</v>
      </c>
      <c r="K203" s="10">
        <f t="shared" si="15"/>
        <v>3.0739857213980671E-3</v>
      </c>
      <c r="L203" s="10">
        <f t="shared" si="16"/>
        <v>1.13570459772524E-2</v>
      </c>
      <c r="M203" s="10">
        <f t="shared" si="17"/>
        <v>4.9871466911547693E-3</v>
      </c>
      <c r="N203" s="10">
        <f t="shared" si="19"/>
        <v>8.1637347637693617E-4</v>
      </c>
      <c r="P203" s="28">
        <f t="shared" si="20"/>
        <v>408.1867381884681</v>
      </c>
    </row>
    <row r="204" spans="1:16" ht="15" x14ac:dyDescent="0.2">
      <c r="A204" s="4">
        <v>189</v>
      </c>
      <c r="B204" s="62">
        <v>45905</v>
      </c>
      <c r="C204" s="9">
        <f>$E$5*(1+'Nestlé India Limited'!B253/100)</f>
        <v>1809.8456640940392</v>
      </c>
      <c r="D204" s="9">
        <f>$E$6*(1+'Pidilite Industries Limited'!B253/100)</f>
        <v>3095.1</v>
      </c>
      <c r="E204" s="9">
        <f>$E$7*(1+'Divi''s Laboratories Limited'!B253/100)</f>
        <v>6009</v>
      </c>
      <c r="F204" s="9">
        <f>$E$8*(1+'Bosch Limited'!B253/100)</f>
        <v>40912.801867139271</v>
      </c>
      <c r="G204" s="9">
        <f>$E$9*(1+'UltraTech Cement Limited'!B253/100)</f>
        <v>12601.000000000002</v>
      </c>
      <c r="I204" s="10">
        <f t="shared" si="18"/>
        <v>-2.3531851090113375E-3</v>
      </c>
      <c r="J204" s="10">
        <f t="shared" si="14"/>
        <v>-7.7242828775942957E-3</v>
      </c>
      <c r="K204" s="10">
        <f t="shared" si="15"/>
        <v>-2.0507204138878792E-2</v>
      </c>
      <c r="L204" s="10">
        <f t="shared" si="16"/>
        <v>3.3610349089204438E-3</v>
      </c>
      <c r="M204" s="10">
        <f t="shared" si="17"/>
        <v>-3.9600875449762119E-3</v>
      </c>
      <c r="N204" s="10">
        <f t="shared" si="19"/>
        <v>-6.2367449523080386E-3</v>
      </c>
      <c r="P204" s="28">
        <f t="shared" si="20"/>
        <v>-3118.3724761540193</v>
      </c>
    </row>
    <row r="205" spans="1:16" ht="15" x14ac:dyDescent="0.2">
      <c r="A205" s="4">
        <v>190</v>
      </c>
      <c r="B205" s="62">
        <v>45904</v>
      </c>
      <c r="C205" s="9">
        <f>$E$5*(1+'Nestlé India Limited'!B254/100)</f>
        <v>1814.1095808855312</v>
      </c>
      <c r="D205" s="9">
        <f>$E$6*(1+'Pidilite Industries Limited'!B254/100)</f>
        <v>3119.1</v>
      </c>
      <c r="E205" s="9">
        <f>$E$7*(1+'Divi''s Laboratories Limited'!B254/100)</f>
        <v>6133.5</v>
      </c>
      <c r="F205" s="9">
        <f>$E$8*(1+'Bosch Limited'!B254/100)</f>
        <v>40775.523340034182</v>
      </c>
      <c r="G205" s="9">
        <f>$E$9*(1+'UltraTech Cement Limited'!B254/100)</f>
        <v>12651</v>
      </c>
      <c r="I205" s="10">
        <f t="shared" si="18"/>
        <v>1.4914178776608309E-2</v>
      </c>
      <c r="J205" s="10">
        <f t="shared" si="14"/>
        <v>2.2788923537518813E-3</v>
      </c>
      <c r="K205" s="10">
        <f t="shared" si="15"/>
        <v>-4.9603679671997025E-3</v>
      </c>
      <c r="L205" s="10">
        <f t="shared" si="16"/>
        <v>-8.5292634022799563E-3</v>
      </c>
      <c r="M205" s="10">
        <f t="shared" si="17"/>
        <v>-6.4607851587658279E-3</v>
      </c>
      <c r="N205" s="10">
        <f t="shared" si="19"/>
        <v>-5.5146907957705953E-4</v>
      </c>
      <c r="P205" s="28">
        <f t="shared" si="20"/>
        <v>-275.73453978852979</v>
      </c>
    </row>
    <row r="206" spans="1:16" ht="15" x14ac:dyDescent="0.2">
      <c r="A206" s="4">
        <v>191</v>
      </c>
      <c r="B206" s="62">
        <v>45903</v>
      </c>
      <c r="C206" s="9">
        <f>$E$5*(1+'Nestlé India Limited'!B255/100)</f>
        <v>1787.2543856549053</v>
      </c>
      <c r="D206" s="9">
        <f>$E$6*(1+'Pidilite Industries Limited'!B255/100)</f>
        <v>3112</v>
      </c>
      <c r="E206" s="9">
        <f>$E$7*(1+'Divi''s Laboratories Limited'!B255/100)</f>
        <v>6164</v>
      </c>
      <c r="F206" s="9">
        <f>$E$8*(1+'Bosch Limited'!B255/100)</f>
        <v>41124.795920472054</v>
      </c>
      <c r="G206" s="9">
        <f>$E$9*(1+'UltraTech Cement Limited'!B255/100)</f>
        <v>12732.999999999998</v>
      </c>
      <c r="I206" s="10">
        <f t="shared" si="18"/>
        <v>-5.5096558109698074E-3</v>
      </c>
      <c r="J206" s="10">
        <f t="shared" si="14"/>
        <v>-4.8084721595589436E-3</v>
      </c>
      <c r="K206" s="10">
        <f t="shared" si="15"/>
        <v>7.082124924439292E-3</v>
      </c>
      <c r="L206" s="10">
        <f t="shared" si="16"/>
        <v>-3.7905752059184733E-3</v>
      </c>
      <c r="M206" s="10">
        <f t="shared" si="17"/>
        <v>2.3563602198329605E-4</v>
      </c>
      <c r="N206" s="10">
        <f t="shared" si="19"/>
        <v>-1.3581884460049272E-3</v>
      </c>
      <c r="P206" s="28">
        <f t="shared" si="20"/>
        <v>-679.09422300246365</v>
      </c>
    </row>
    <row r="207" spans="1:16" ht="15" x14ac:dyDescent="0.2">
      <c r="A207" s="4">
        <v>192</v>
      </c>
      <c r="B207" s="62">
        <v>45902</v>
      </c>
      <c r="C207" s="9">
        <f>$E$5*(1+'Nestlé India Limited'!B256/100)</f>
        <v>1797.1287192773084</v>
      </c>
      <c r="D207" s="9">
        <f>$E$6*(1+'Pidilite Industries Limited'!B256/100)</f>
        <v>3126.9999999999995</v>
      </c>
      <c r="E207" s="9">
        <f>$E$7*(1+'Divi''s Laboratories Limited'!B256/100)</f>
        <v>6120.5</v>
      </c>
      <c r="F207" s="9">
        <f>$E$8*(1+'Bosch Limited'!B256/100)</f>
        <v>41280.978375899816</v>
      </c>
      <c r="G207" s="9">
        <f>$E$9*(1+'UltraTech Cement Limited'!B256/100)</f>
        <v>12730</v>
      </c>
      <c r="I207" s="10">
        <f t="shared" si="18"/>
        <v>2.2733992479089814E-2</v>
      </c>
      <c r="J207" s="10">
        <f t="shared" si="14"/>
        <v>5.1180347864029246E-4</v>
      </c>
      <c r="K207" s="10">
        <f t="shared" si="15"/>
        <v>4.5032212670728863E-3</v>
      </c>
      <c r="L207" s="10">
        <f t="shared" si="16"/>
        <v>1.2363992888165896E-2</v>
      </c>
      <c r="M207" s="10">
        <f t="shared" si="17"/>
        <v>-7.51294815735617E-3</v>
      </c>
      <c r="N207" s="10">
        <f t="shared" si="19"/>
        <v>6.5200123911225436E-3</v>
      </c>
      <c r="P207" s="28">
        <f t="shared" si="20"/>
        <v>3260.0061955612719</v>
      </c>
    </row>
    <row r="208" spans="1:16" ht="15" x14ac:dyDescent="0.2">
      <c r="A208" s="4">
        <v>193</v>
      </c>
      <c r="B208" s="62">
        <v>45901</v>
      </c>
      <c r="C208" s="9">
        <f>$E$5*(1+'Nestlé India Limited'!B257/100)</f>
        <v>1756.7337180947513</v>
      </c>
      <c r="D208" s="9">
        <f>$E$6*(1+'Pidilite Industries Limited'!B257/100)</f>
        <v>3125.4</v>
      </c>
      <c r="E208" s="9">
        <f>$E$7*(1+'Divi''s Laboratories Limited'!B257/100)</f>
        <v>6093</v>
      </c>
      <c r="F208" s="9">
        <f>$E$8*(1+'Bosch Limited'!B257/100)</f>
        <v>40773.722965908208</v>
      </c>
      <c r="G208" s="9">
        <f>$E$9*(1+'UltraTech Cement Limited'!B257/100)</f>
        <v>12826.000000000002</v>
      </c>
      <c r="I208" s="10">
        <f t="shared" si="18"/>
        <v>1.596737503800524E-2</v>
      </c>
      <c r="J208" s="10">
        <f t="shared" ref="J208:J261" si="21">LN(D208/D209)</f>
        <v>2.4322328559097883E-2</v>
      </c>
      <c r="K208" s="10">
        <f t="shared" ref="K208:K261" si="22">LN(E208/E209)</f>
        <v>-6.2988469535863413E-3</v>
      </c>
      <c r="L208" s="10">
        <f t="shared" ref="L208:L261" si="23">LN(F208/F209)</f>
        <v>1.9164321541805217E-2</v>
      </c>
      <c r="M208" s="10">
        <f t="shared" ref="M208:M261" si="24">LN(G208/G209)</f>
        <v>1.4607972007960003E-2</v>
      </c>
      <c r="N208" s="10">
        <f t="shared" si="19"/>
        <v>1.3552630038656401E-2</v>
      </c>
      <c r="P208" s="28">
        <f t="shared" si="20"/>
        <v>6776.3150193281999</v>
      </c>
    </row>
    <row r="209" spans="1:16" ht="15" x14ac:dyDescent="0.2">
      <c r="A209" s="4">
        <v>194</v>
      </c>
      <c r="B209" s="62">
        <v>45898</v>
      </c>
      <c r="C209" s="9">
        <f>$E$5*(1+'Nestlé India Limited'!B258/100)</f>
        <v>1728.9060506134344</v>
      </c>
      <c r="D209" s="9">
        <f>$E$6*(1+'Pidilite Industries Limited'!B258/100)</f>
        <v>3050.3000000000006</v>
      </c>
      <c r="E209" s="9">
        <f>$E$7*(1+'Divi''s Laboratories Limited'!B258/100)</f>
        <v>6131.5</v>
      </c>
      <c r="F209" s="9">
        <f>$E$8*(1+'Bosch Limited'!B258/100)</f>
        <v>39999.762133311327</v>
      </c>
      <c r="G209" s="9">
        <f>$E$9*(1+'UltraTech Cement Limited'!B258/100)</f>
        <v>12639.999999999998</v>
      </c>
      <c r="I209" s="10">
        <f t="shared" ref="I209:I261" si="25">LN(C209/C210)</f>
        <v>-5.7811110575820253E-3</v>
      </c>
      <c r="J209" s="10">
        <f t="shared" si="21"/>
        <v>-4.1222331487408195E-3</v>
      </c>
      <c r="K209" s="10">
        <f t="shared" si="22"/>
        <v>-8.1542789624049225E-5</v>
      </c>
      <c r="L209" s="10">
        <f t="shared" si="23"/>
        <v>2.0060365592302811E-2</v>
      </c>
      <c r="M209" s="10">
        <f t="shared" si="24"/>
        <v>9.4591540319005057E-3</v>
      </c>
      <c r="N209" s="10">
        <f t="shared" ref="N209:N261" si="26">$D$5*I209+$D$6*J209+$D$7*K209+$D$8*L209+$D$9*M209</f>
        <v>3.9069265256512845E-3</v>
      </c>
      <c r="P209" s="28">
        <f t="shared" ref="P209:P261" si="27">$C$10*N209</f>
        <v>1953.4632628256422</v>
      </c>
    </row>
    <row r="210" spans="1:16" ht="15" x14ac:dyDescent="0.2">
      <c r="A210" s="4">
        <v>195</v>
      </c>
      <c r="B210" s="62">
        <v>45897</v>
      </c>
      <c r="C210" s="9">
        <f>$E$5*(1+'Nestlé India Limited'!B259/100)</f>
        <v>1738.929995351328</v>
      </c>
      <c r="D210" s="9">
        <f>$E$6*(1+'Pidilite Industries Limited'!B259/100)</f>
        <v>3062.9000000000005</v>
      </c>
      <c r="E210" s="9">
        <f>$E$7*(1+'Divi''s Laboratories Limited'!B259/100)</f>
        <v>6132</v>
      </c>
      <c r="F210" s="9">
        <f>$E$8*(1+'Bosch Limited'!B259/100)</f>
        <v>39205.347050227756</v>
      </c>
      <c r="G210" s="9">
        <f>$E$9*(1+'UltraTech Cement Limited'!B259/100)</f>
        <v>12521</v>
      </c>
      <c r="I210" s="10">
        <f t="shared" si="25"/>
        <v>-1.3326743584056464E-3</v>
      </c>
      <c r="J210" s="10">
        <f t="shared" si="21"/>
        <v>-1.2168955838512525E-2</v>
      </c>
      <c r="K210" s="10">
        <f t="shared" si="22"/>
        <v>-9.4948978690414902E-3</v>
      </c>
      <c r="L210" s="10">
        <f t="shared" si="23"/>
        <v>-7.728267084066944E-3</v>
      </c>
      <c r="M210" s="10">
        <f t="shared" si="24"/>
        <v>-7.0829152900174263E-3</v>
      </c>
      <c r="N210" s="10">
        <f t="shared" si="26"/>
        <v>-7.5615420880088069E-3</v>
      </c>
      <c r="P210" s="28">
        <f t="shared" si="27"/>
        <v>-3780.7710440044034</v>
      </c>
    </row>
    <row r="211" spans="1:16" ht="15" x14ac:dyDescent="0.2">
      <c r="A211" s="4">
        <v>196</v>
      </c>
      <c r="B211" s="62">
        <v>45895</v>
      </c>
      <c r="C211" s="9">
        <f>$E$5*(1+'Nestlé India Limited'!B261/100)</f>
        <v>1741.2489676414377</v>
      </c>
      <c r="D211" s="9">
        <f>$E$6*(1+'Pidilite Industries Limited'!B261/100)</f>
        <v>3100.4000000000005</v>
      </c>
      <c r="E211" s="9">
        <f>$E$7*(1+'Divi''s Laboratories Limited'!B261/100)</f>
        <v>6190.5</v>
      </c>
      <c r="F211" s="9">
        <f>$E$8*(1+'Bosch Limited'!B261/100)</f>
        <v>39509.51025673165</v>
      </c>
      <c r="G211" s="9">
        <f>$E$9*(1+'UltraTech Cement Limited'!B261/100)</f>
        <v>12609.999999999998</v>
      </c>
      <c r="I211" s="10">
        <f t="shared" si="25"/>
        <v>9.6698357624628584E-3</v>
      </c>
      <c r="J211" s="10">
        <f t="shared" si="21"/>
        <v>-2.1264949856907786E-3</v>
      </c>
      <c r="K211" s="10">
        <f t="shared" si="22"/>
        <v>-9.3255760650922045E-3</v>
      </c>
      <c r="L211" s="10">
        <f t="shared" si="23"/>
        <v>1.0272498724657462E-2</v>
      </c>
      <c r="M211" s="10">
        <f t="shared" si="24"/>
        <v>3.1725888590961965E-4</v>
      </c>
      <c r="N211" s="10">
        <f t="shared" si="26"/>
        <v>1.7615044644493912E-3</v>
      </c>
      <c r="P211" s="28">
        <f t="shared" si="27"/>
        <v>880.7522322246956</v>
      </c>
    </row>
    <row r="212" spans="1:16" ht="15" x14ac:dyDescent="0.2">
      <c r="A212" s="4">
        <v>197</v>
      </c>
      <c r="B212" s="62">
        <v>45894</v>
      </c>
      <c r="C212" s="9">
        <f>$E$5*(1+'Nestlé India Limited'!B262/100)</f>
        <v>1724.4925227064514</v>
      </c>
      <c r="D212" s="9">
        <f>$E$6*(1+'Pidilite Industries Limited'!B262/100)</f>
        <v>3106.9999999999995</v>
      </c>
      <c r="E212" s="9">
        <f>$E$7*(1+'Divi''s Laboratories Limited'!B262/100)</f>
        <v>6248.5</v>
      </c>
      <c r="F212" s="9">
        <f>$E$8*(1+'Bosch Limited'!B262/100)</f>
        <v>39105.726348590833</v>
      </c>
      <c r="G212" s="9">
        <f>$E$9*(1+'UltraTech Cement Limited'!B262/100)</f>
        <v>12606</v>
      </c>
      <c r="I212" s="10">
        <f t="shared" si="25"/>
        <v>-7.9499230540169274E-3</v>
      </c>
      <c r="J212" s="10">
        <f t="shared" si="21"/>
        <v>6.393099169638288E-3</v>
      </c>
      <c r="K212" s="10">
        <f t="shared" si="22"/>
        <v>1.5645480425614641E-2</v>
      </c>
      <c r="L212" s="10">
        <f t="shared" si="23"/>
        <v>-5.6022698375065372E-3</v>
      </c>
      <c r="M212" s="10">
        <f t="shared" si="24"/>
        <v>1.3494743067962917E-3</v>
      </c>
      <c r="N212" s="10">
        <f t="shared" si="26"/>
        <v>1.9671722021051517E-3</v>
      </c>
      <c r="P212" s="28">
        <f t="shared" si="27"/>
        <v>983.58610105257583</v>
      </c>
    </row>
    <row r="213" spans="1:16" ht="15" x14ac:dyDescent="0.2">
      <c r="A213" s="4">
        <v>198</v>
      </c>
      <c r="B213" s="62">
        <v>45891</v>
      </c>
      <c r="C213" s="9">
        <f>$E$5*(1+'Nestlé India Limited'!B263/100)</f>
        <v>1738.256745331619</v>
      </c>
      <c r="D213" s="9">
        <f>$E$6*(1+'Pidilite Industries Limited'!B263/100)</f>
        <v>3087.2</v>
      </c>
      <c r="E213" s="9">
        <f>$E$7*(1+'Divi''s Laboratories Limited'!B263/100)</f>
        <v>6151.5</v>
      </c>
      <c r="F213" s="9">
        <f>$E$8*(1+'Bosch Limited'!B263/100)</f>
        <v>39325.422002351377</v>
      </c>
      <c r="G213" s="9">
        <f>$E$9*(1+'UltraTech Cement Limited'!B263/100)</f>
        <v>12588.999999999998</v>
      </c>
      <c r="I213" s="10">
        <f t="shared" si="25"/>
        <v>-1.4610649517434912E-2</v>
      </c>
      <c r="J213" s="10">
        <f t="shared" si="21"/>
        <v>2.6596622989084944E-3</v>
      </c>
      <c r="K213" s="10">
        <f t="shared" si="22"/>
        <v>2.0280673753837616E-2</v>
      </c>
      <c r="L213" s="10">
        <f t="shared" si="23"/>
        <v>-4.918291217880017E-3</v>
      </c>
      <c r="M213" s="10">
        <f t="shared" si="24"/>
        <v>-2.2075604823913034E-2</v>
      </c>
      <c r="N213" s="10">
        <f t="shared" si="26"/>
        <v>-3.7328419012963706E-3</v>
      </c>
      <c r="P213" s="28">
        <f t="shared" si="27"/>
        <v>-1866.4209506481852</v>
      </c>
    </row>
    <row r="214" spans="1:16" ht="15" x14ac:dyDescent="0.2">
      <c r="A214" s="4">
        <v>199</v>
      </c>
      <c r="B214" s="62">
        <v>45890</v>
      </c>
      <c r="C214" s="9">
        <f>$E$5*(1+'Nestlé India Limited'!B264/100)</f>
        <v>1763.8402460805717</v>
      </c>
      <c r="D214" s="9">
        <f>$E$6*(1+'Pidilite Industries Limited'!B264/100)</f>
        <v>3079</v>
      </c>
      <c r="E214" s="9">
        <f>$E$7*(1+'Divi''s Laboratories Limited'!B264/100)</f>
        <v>6028</v>
      </c>
      <c r="F214" s="9">
        <f>$E$8*(1+'Bosch Limited'!B264/100)</f>
        <v>39519.312293639698</v>
      </c>
      <c r="G214" s="9">
        <f>$E$9*(1+'UltraTech Cement Limited'!B264/100)</f>
        <v>12869.999999999998</v>
      </c>
      <c r="I214" s="10">
        <f t="shared" si="25"/>
        <v>-9.4131253713373338E-3</v>
      </c>
      <c r="J214" s="10">
        <f t="shared" si="21"/>
        <v>-1.8171203650134045E-3</v>
      </c>
      <c r="K214" s="10">
        <f t="shared" si="22"/>
        <v>3.8228252323021742E-3</v>
      </c>
      <c r="L214" s="10">
        <f t="shared" si="23"/>
        <v>-1.0526240724425524E-2</v>
      </c>
      <c r="M214" s="10">
        <f t="shared" si="24"/>
        <v>-3.1075202238894288E-4</v>
      </c>
      <c r="N214" s="10">
        <f t="shared" si="26"/>
        <v>-3.6488826501726063E-3</v>
      </c>
      <c r="P214" s="28">
        <f t="shared" si="27"/>
        <v>-1824.4413250863031</v>
      </c>
    </row>
    <row r="215" spans="1:16" ht="15" x14ac:dyDescent="0.2">
      <c r="A215" s="4">
        <v>200</v>
      </c>
      <c r="B215" s="62">
        <v>45889</v>
      </c>
      <c r="C215" s="9">
        <f>$E$5*(1+'Nestlé India Limited'!B265/100)</f>
        <v>1780.5218854578125</v>
      </c>
      <c r="D215" s="9">
        <f>$E$6*(1+'Pidilite Industries Limited'!B265/100)</f>
        <v>3084.5999999999995</v>
      </c>
      <c r="E215" s="9">
        <f>$E$7*(1+'Divi''s Laboratories Limited'!B265/100)</f>
        <v>6005</v>
      </c>
      <c r="F215" s="9">
        <f>$E$8*(1+'Bosch Limited'!B265/100)</f>
        <v>39937.499194788252</v>
      </c>
      <c r="G215" s="9">
        <f>$E$9*(1+'UltraTech Cement Limited'!B265/100)</f>
        <v>12874</v>
      </c>
      <c r="I215" s="10">
        <f t="shared" si="25"/>
        <v>2.5229476279290355E-2</v>
      </c>
      <c r="J215" s="10">
        <f t="shared" si="21"/>
        <v>-3.4305350967893597E-3</v>
      </c>
      <c r="K215" s="10">
        <f t="shared" si="22"/>
        <v>-1.2330000222388964E-2</v>
      </c>
      <c r="L215" s="10">
        <f t="shared" si="23"/>
        <v>1.5702593903329446E-3</v>
      </c>
      <c r="M215" s="10">
        <f t="shared" si="24"/>
        <v>8.5480053384553198E-4</v>
      </c>
      <c r="N215" s="10">
        <f t="shared" si="26"/>
        <v>2.3788001768581019E-3</v>
      </c>
      <c r="P215" s="28">
        <f t="shared" si="27"/>
        <v>1189.400088429051</v>
      </c>
    </row>
    <row r="216" spans="1:16" ht="15" x14ac:dyDescent="0.2">
      <c r="A216" s="4">
        <v>201</v>
      </c>
      <c r="B216" s="62">
        <v>45888</v>
      </c>
      <c r="C216" s="9">
        <f>$E$5*(1+'Nestlé India Limited'!B266/100)</f>
        <v>1736.1621897147456</v>
      </c>
      <c r="D216" s="9">
        <f>$E$6*(1+'Pidilite Industries Limited'!B266/100)</f>
        <v>3095.2</v>
      </c>
      <c r="E216" s="9">
        <f>$E$7*(1+'Divi''s Laboratories Limited'!B266/100)</f>
        <v>6079.5</v>
      </c>
      <c r="F216" s="9">
        <f>$E$8*(1+'Bosch Limited'!B266/100)</f>
        <v>39874.836173126081</v>
      </c>
      <c r="G216" s="9">
        <f>$E$9*(1+'UltraTech Cement Limited'!B266/100)</f>
        <v>12863.000000000002</v>
      </c>
      <c r="I216" s="10">
        <f t="shared" si="25"/>
        <v>1.4364384377475916E-2</v>
      </c>
      <c r="J216" s="10">
        <f t="shared" si="21"/>
        <v>5.9299277798918219E-3</v>
      </c>
      <c r="K216" s="10">
        <f t="shared" si="22"/>
        <v>-1.3884574572134543E-2</v>
      </c>
      <c r="L216" s="10">
        <f t="shared" si="23"/>
        <v>1.3335214339704218E-2</v>
      </c>
      <c r="M216" s="10">
        <f t="shared" si="24"/>
        <v>7.647922403131337E-3</v>
      </c>
      <c r="N216" s="10">
        <f t="shared" si="26"/>
        <v>5.4785748656137499E-3</v>
      </c>
      <c r="P216" s="28">
        <f t="shared" si="27"/>
        <v>2739.2874328068751</v>
      </c>
    </row>
    <row r="217" spans="1:16" ht="15" x14ac:dyDescent="0.2">
      <c r="A217" s="4">
        <v>202</v>
      </c>
      <c r="B217" s="62">
        <v>45887</v>
      </c>
      <c r="C217" s="9">
        <f>$E$5*(1+'Nestlé India Limited'!B267/100)</f>
        <v>1711.4015501009933</v>
      </c>
      <c r="D217" s="9">
        <f>$E$6*(1+'Pidilite Industries Limited'!B267/100)</f>
        <v>3076.8999999999996</v>
      </c>
      <c r="E217" s="9">
        <f>$E$7*(1+'Divi''s Laboratories Limited'!B267/100)</f>
        <v>6164.5</v>
      </c>
      <c r="F217" s="9">
        <f>$E$8*(1+'Bosch Limited'!B267/100)</f>
        <v>39346.626408723889</v>
      </c>
      <c r="G217" s="9">
        <f>$E$9*(1+'UltraTech Cement Limited'!B267/100)</f>
        <v>12765</v>
      </c>
      <c r="I217" s="10">
        <f t="shared" si="25"/>
        <v>4.8862288459285079E-2</v>
      </c>
      <c r="J217" s="10">
        <f t="shared" si="21"/>
        <v>-2.7587119714278367E-3</v>
      </c>
      <c r="K217" s="10">
        <f t="shared" si="22"/>
        <v>5.2045331759630565E-3</v>
      </c>
      <c r="L217" s="10">
        <f t="shared" si="23"/>
        <v>1.8781756006503683E-2</v>
      </c>
      <c r="M217" s="10">
        <f t="shared" si="24"/>
        <v>3.5726628734099999E-2</v>
      </c>
      <c r="N217" s="10">
        <f t="shared" si="26"/>
        <v>2.1163298880884796E-2</v>
      </c>
      <c r="P217" s="28">
        <f t="shared" si="27"/>
        <v>10581.649440442397</v>
      </c>
    </row>
    <row r="218" spans="1:16" ht="15" x14ac:dyDescent="0.2">
      <c r="A218" s="4">
        <v>203</v>
      </c>
      <c r="B218" s="62">
        <v>45883</v>
      </c>
      <c r="C218" s="9">
        <f>$E$5*(1+'Nestlé India Limited'!B269/100)</f>
        <v>1629.7886866006788</v>
      </c>
      <c r="D218" s="9">
        <f>$E$6*(1+'Pidilite Industries Limited'!B269/100)</f>
        <v>3085.4</v>
      </c>
      <c r="E218" s="9">
        <f>$E$7*(1+'Divi''s Laboratories Limited'!B269/100)</f>
        <v>6132.5</v>
      </c>
      <c r="F218" s="9">
        <f>$E$8*(1+'Bosch Limited'!B269/100)</f>
        <v>38614.524274555784</v>
      </c>
      <c r="G218" s="9">
        <f>$E$9*(1+'UltraTech Cement Limited'!B269/100)</f>
        <v>12317</v>
      </c>
      <c r="I218" s="10">
        <f t="shared" si="25"/>
        <v>-7.2714289244107536E-3</v>
      </c>
      <c r="J218" s="10">
        <f t="shared" si="21"/>
        <v>7.6456702867139532E-3</v>
      </c>
      <c r="K218" s="10">
        <f t="shared" si="22"/>
        <v>5.231762117255373E-3</v>
      </c>
      <c r="L218" s="10">
        <f t="shared" si="23"/>
        <v>-8.0782768665400156E-4</v>
      </c>
      <c r="M218" s="10">
        <f t="shared" si="24"/>
        <v>-6.7966925612879085E-3</v>
      </c>
      <c r="N218" s="10">
        <f t="shared" si="26"/>
        <v>-3.9970335367666733E-4</v>
      </c>
      <c r="P218" s="28">
        <f t="shared" si="27"/>
        <v>-199.85167683833367</v>
      </c>
    </row>
    <row r="219" spans="1:16" ht="15" x14ac:dyDescent="0.2">
      <c r="A219" s="4">
        <v>204</v>
      </c>
      <c r="B219" s="62">
        <v>45882</v>
      </c>
      <c r="C219" s="9">
        <f>$E$5*(1+'Nestlé India Limited'!B270/100)</f>
        <v>1641.6827702822097</v>
      </c>
      <c r="D219" s="9">
        <f>$E$6*(1+'Pidilite Industries Limited'!B270/100)</f>
        <v>3061.9</v>
      </c>
      <c r="E219" s="9">
        <f>$E$7*(1+'Divi''s Laboratories Limited'!B270/100)</f>
        <v>6100.5</v>
      </c>
      <c r="F219" s="9">
        <f>$E$8*(1+'Bosch Limited'!B270/100)</f>
        <v>38645.730759405902</v>
      </c>
      <c r="G219" s="9">
        <f>$E$9*(1+'UltraTech Cement Limited'!B270/100)</f>
        <v>12400.999999999998</v>
      </c>
      <c r="I219" s="10">
        <f t="shared" si="25"/>
        <v>5.5287888429413762E-3</v>
      </c>
      <c r="J219" s="10">
        <f t="shared" si="21"/>
        <v>-1.2850227122047263E-2</v>
      </c>
      <c r="K219" s="10">
        <f t="shared" si="22"/>
        <v>2.3132482795462345E-2</v>
      </c>
      <c r="L219" s="10">
        <f t="shared" si="23"/>
        <v>3.2352345515391402E-5</v>
      </c>
      <c r="M219" s="10">
        <f t="shared" si="24"/>
        <v>-3.8631838790137265E-3</v>
      </c>
      <c r="N219" s="10">
        <f t="shared" si="26"/>
        <v>2.3960425965716247E-3</v>
      </c>
      <c r="P219" s="28">
        <f t="shared" si="27"/>
        <v>1198.0212982858125</v>
      </c>
    </row>
    <row r="220" spans="1:16" ht="15" x14ac:dyDescent="0.2">
      <c r="A220" s="4">
        <v>205</v>
      </c>
      <c r="B220" s="62">
        <v>45881</v>
      </c>
      <c r="C220" s="9">
        <f>$E$5*(1+'Nestlé India Limited'!B271/100)</f>
        <v>1632.6312977950072</v>
      </c>
      <c r="D220" s="9">
        <f>$E$6*(1+'Pidilite Industries Limited'!B271/100)</f>
        <v>3101.5000000000005</v>
      </c>
      <c r="E220" s="9">
        <f>$E$7*(1+'Divi''s Laboratories Limited'!B271/100)</f>
        <v>5961</v>
      </c>
      <c r="F220" s="9">
        <f>$E$8*(1+'Bosch Limited'!B271/100)</f>
        <v>38644.480499596204</v>
      </c>
      <c r="G220" s="9">
        <f>$E$9*(1+'UltraTech Cement Limited'!B271/100)</f>
        <v>12449</v>
      </c>
      <c r="I220" s="10">
        <f t="shared" si="25"/>
        <v>-1.3561689602183765E-2</v>
      </c>
      <c r="J220" s="10">
        <f t="shared" si="21"/>
        <v>1.5165451497337135E-3</v>
      </c>
      <c r="K220" s="10">
        <f t="shared" si="22"/>
        <v>-5.1869939771288735E-3</v>
      </c>
      <c r="L220" s="10">
        <f t="shared" si="23"/>
        <v>-1.7468224500057578E-3</v>
      </c>
      <c r="M220" s="10">
        <f t="shared" si="24"/>
        <v>3.5406812558844611E-3</v>
      </c>
      <c r="N220" s="10">
        <f t="shared" si="26"/>
        <v>-3.0876559247400449E-3</v>
      </c>
      <c r="P220" s="28">
        <f t="shared" si="27"/>
        <v>-1543.8279623700225</v>
      </c>
    </row>
    <row r="221" spans="1:16" ht="15" x14ac:dyDescent="0.2">
      <c r="A221" s="4">
        <v>206</v>
      </c>
      <c r="B221" s="62">
        <v>45880</v>
      </c>
      <c r="C221" s="9">
        <f>$E$5*(1+'Nestlé India Limited'!B272/100)</f>
        <v>1654.9233540031591</v>
      </c>
      <c r="D221" s="9">
        <f>$E$6*(1+'Pidilite Industries Limited'!B272/100)</f>
        <v>3096.8000000000006</v>
      </c>
      <c r="E221" s="9">
        <f>$E$7*(1+'Divi''s Laboratories Limited'!B272/100)</f>
        <v>5992</v>
      </c>
      <c r="F221" s="9">
        <f>$E$8*(1+'Bosch Limited'!B272/100)</f>
        <v>38712.044539712406</v>
      </c>
      <c r="G221" s="9">
        <f>$E$9*(1+'UltraTech Cement Limited'!B272/100)</f>
        <v>12405</v>
      </c>
      <c r="I221" s="10">
        <f t="shared" si="25"/>
        <v>7.9417721311206592E-3</v>
      </c>
      <c r="J221" s="10">
        <f t="shared" si="21"/>
        <v>5.0177344235701402E-3</v>
      </c>
      <c r="K221" s="10">
        <f t="shared" si="22"/>
        <v>1.301828321126375E-2</v>
      </c>
      <c r="L221" s="10">
        <f t="shared" si="23"/>
        <v>9.7961726245420107E-3</v>
      </c>
      <c r="M221" s="10">
        <f t="shared" si="24"/>
        <v>2.0194481570107461E-2</v>
      </c>
      <c r="N221" s="10">
        <f t="shared" si="26"/>
        <v>1.1193688792120803E-2</v>
      </c>
      <c r="P221" s="28">
        <f t="shared" si="27"/>
        <v>5596.8443960604018</v>
      </c>
    </row>
    <row r="222" spans="1:16" ht="15" x14ac:dyDescent="0.2">
      <c r="A222" s="4">
        <v>207</v>
      </c>
      <c r="B222" s="62">
        <v>45877</v>
      </c>
      <c r="C222" s="9">
        <f>$E$5*(1+'Nestlé India Limited'!B273/100)</f>
        <v>1641.8323813977008</v>
      </c>
      <c r="D222" s="9">
        <f>$E$6*(1+'Pidilite Industries Limited'!B273/100)</f>
        <v>3081.3</v>
      </c>
      <c r="E222" s="9">
        <f>$E$7*(1+'Divi''s Laboratories Limited'!B273/100)</f>
        <v>5914.5</v>
      </c>
      <c r="F222" s="9">
        <f>$E$8*(1+'Bosch Limited'!B273/100)</f>
        <v>38334.666118752466</v>
      </c>
      <c r="G222" s="9">
        <f>$E$9*(1+'UltraTech Cement Limited'!B273/100)</f>
        <v>12157</v>
      </c>
      <c r="I222" s="10">
        <f t="shared" si="25"/>
        <v>-1.8418722210722615E-2</v>
      </c>
      <c r="J222" s="10">
        <f t="shared" si="21"/>
        <v>9.9477345497848754E-3</v>
      </c>
      <c r="K222" s="10">
        <f t="shared" si="22"/>
        <v>-3.6032455216289151E-2</v>
      </c>
      <c r="L222" s="10">
        <f t="shared" si="23"/>
        <v>-7.4836620555354134E-3</v>
      </c>
      <c r="M222" s="10">
        <f t="shared" si="24"/>
        <v>-9.4965920417143003E-3</v>
      </c>
      <c r="N222" s="10">
        <f t="shared" si="26"/>
        <v>-1.2296739394895322E-2</v>
      </c>
      <c r="P222" s="28">
        <f t="shared" si="27"/>
        <v>-6148.3696974476616</v>
      </c>
    </row>
    <row r="223" spans="1:16" ht="15" x14ac:dyDescent="0.2">
      <c r="A223" s="4">
        <v>208</v>
      </c>
      <c r="B223" s="62">
        <v>45876</v>
      </c>
      <c r="C223" s="9">
        <f>$E$5*(1+'Nestlé India Limited'!B274/100)</f>
        <v>1672.3530489578548</v>
      </c>
      <c r="D223" s="9">
        <f>$E$6*(1+'Pidilite Industries Limited'!B274/100)</f>
        <v>3050.8</v>
      </c>
      <c r="E223" s="9">
        <f>$E$7*(1+'Divi''s Laboratories Limited'!B274/100)</f>
        <v>6131.5</v>
      </c>
      <c r="F223" s="9">
        <f>$E$8*(1+'Bosch Limited'!B274/100)</f>
        <v>38622.62595812264</v>
      </c>
      <c r="G223" s="9">
        <f>$E$9*(1+'UltraTech Cement Limited'!B274/100)</f>
        <v>12273</v>
      </c>
      <c r="I223" s="10">
        <f t="shared" si="25"/>
        <v>1.0293361691140592E-3</v>
      </c>
      <c r="J223" s="10">
        <f t="shared" si="21"/>
        <v>2.9544058518151694E-3</v>
      </c>
      <c r="K223" s="10">
        <f t="shared" si="22"/>
        <v>-3.2613127072598857E-4</v>
      </c>
      <c r="L223" s="10">
        <f t="shared" si="23"/>
        <v>8.9001270964786088E-3</v>
      </c>
      <c r="M223" s="10">
        <f t="shared" si="24"/>
        <v>3.8368960088375642E-3</v>
      </c>
      <c r="N223" s="10">
        <f t="shared" si="26"/>
        <v>3.2789267711038827E-3</v>
      </c>
      <c r="P223" s="28">
        <f t="shared" si="27"/>
        <v>1639.4633855519414</v>
      </c>
    </row>
    <row r="224" spans="1:16" ht="15" x14ac:dyDescent="0.2">
      <c r="A224" s="4">
        <v>209</v>
      </c>
      <c r="B224" s="62">
        <v>45875</v>
      </c>
      <c r="C224" s="9">
        <f>$E$5*(1+'Nestlé India Limited'!B275/100)</f>
        <v>1670.6325211297089</v>
      </c>
      <c r="D224" s="9">
        <f>$E$6*(1+'Pidilite Industries Limited'!B275/100)</f>
        <v>3041.8</v>
      </c>
      <c r="E224" s="9">
        <f>$E$7*(1+'Divi''s Laboratories Limited'!B275/100)</f>
        <v>6133.5</v>
      </c>
      <c r="F224" s="9">
        <f>$E$8*(1+'Bosch Limited'!B275/100)</f>
        <v>38280.404843011471</v>
      </c>
      <c r="G224" s="9">
        <f>$E$9*(1+'UltraTech Cement Limited'!B275/100)</f>
        <v>12226</v>
      </c>
      <c r="I224" s="10">
        <f t="shared" si="25"/>
        <v>-1.4977059281099894E-2</v>
      </c>
      <c r="J224" s="10">
        <f t="shared" si="21"/>
        <v>1.4637476958790904E-2</v>
      </c>
      <c r="K224" s="10">
        <f t="shared" si="22"/>
        <v>-4.3937703031420111E-2</v>
      </c>
      <c r="L224" s="10">
        <f t="shared" si="23"/>
        <v>-5.872119784497104E-2</v>
      </c>
      <c r="M224" s="10">
        <f t="shared" si="24"/>
        <v>-5.8718159247443018E-3</v>
      </c>
      <c r="N224" s="10">
        <f t="shared" si="26"/>
        <v>-2.1774059824688892E-2</v>
      </c>
      <c r="P224" s="28">
        <f t="shared" si="27"/>
        <v>-10887.029912344446</v>
      </c>
    </row>
    <row r="225" spans="1:16" ht="15" x14ac:dyDescent="0.2">
      <c r="A225" s="4">
        <v>210</v>
      </c>
      <c r="B225" s="62">
        <v>45874</v>
      </c>
      <c r="C225" s="9">
        <f>$E$5*(1+'Nestlé India Limited'!B276/100)</f>
        <v>1695.8419940899339</v>
      </c>
      <c r="D225" s="9">
        <f>$E$6*(1+'Pidilite Industries Limited'!B276/100)</f>
        <v>2997.6</v>
      </c>
      <c r="E225" s="9">
        <f>$E$7*(1+'Divi''s Laboratories Limited'!B276/100)</f>
        <v>6409</v>
      </c>
      <c r="F225" s="9">
        <f>$E$8*(1+'Bosch Limited'!B276/100)</f>
        <v>40595.585948222106</v>
      </c>
      <c r="G225" s="9">
        <f>$E$9*(1+'UltraTech Cement Limited'!B276/100)</f>
        <v>12298</v>
      </c>
      <c r="I225" s="10">
        <f t="shared" si="25"/>
        <v>-4.5551147671580522E-3</v>
      </c>
      <c r="J225" s="10">
        <f t="shared" si="21"/>
        <v>1.5396814731801985E-2</v>
      </c>
      <c r="K225" s="10">
        <f t="shared" si="22"/>
        <v>-1.2482233623586771E-2</v>
      </c>
      <c r="L225" s="10">
        <f t="shared" si="23"/>
        <v>-1.2984739637650324E-2</v>
      </c>
      <c r="M225" s="10">
        <f t="shared" si="24"/>
        <v>3.3394451722501156E-3</v>
      </c>
      <c r="N225" s="10">
        <f t="shared" si="26"/>
        <v>-2.2571656248686098E-3</v>
      </c>
      <c r="P225" s="28">
        <f t="shared" si="27"/>
        <v>-1128.582812434305</v>
      </c>
    </row>
    <row r="226" spans="1:16" ht="15" x14ac:dyDescent="0.2">
      <c r="A226" s="4">
        <v>211</v>
      </c>
      <c r="B226" s="62">
        <v>45873</v>
      </c>
      <c r="C226" s="9">
        <f>$E$5*(1+'Nestlé India Limited'!B277/100)</f>
        <v>1703.5843693165907</v>
      </c>
      <c r="D226" s="9">
        <f>$E$6*(1+'Pidilite Industries Limited'!B277/100)</f>
        <v>2951.8</v>
      </c>
      <c r="E226" s="9">
        <f>$E$7*(1+'Divi''s Laboratories Limited'!B277/100)</f>
        <v>6489.5</v>
      </c>
      <c r="F226" s="9">
        <f>$E$8*(1+'Bosch Limited'!B277/100)</f>
        <v>41126.146201066527</v>
      </c>
      <c r="G226" s="9">
        <f>$E$9*(1+'UltraTech Cement Limited'!B277/100)</f>
        <v>12256.999999999998</v>
      </c>
      <c r="I226" s="10">
        <f t="shared" si="25"/>
        <v>6.1493863532694685E-4</v>
      </c>
      <c r="J226" s="10">
        <f t="shared" si="21"/>
        <v>3.197821830186047E-2</v>
      </c>
      <c r="K226" s="10">
        <f t="shared" si="22"/>
        <v>1.9921287545058473E-2</v>
      </c>
      <c r="L226" s="10">
        <f t="shared" si="23"/>
        <v>1.8174699437134303E-2</v>
      </c>
      <c r="M226" s="10">
        <f t="shared" si="24"/>
        <v>1.1817946324362838E-2</v>
      </c>
      <c r="N226" s="10">
        <f t="shared" si="26"/>
        <v>1.6501418048748606E-2</v>
      </c>
      <c r="P226" s="28">
        <f t="shared" si="27"/>
        <v>8250.7090243743023</v>
      </c>
    </row>
    <row r="227" spans="1:16" ht="15" x14ac:dyDescent="0.2">
      <c r="A227" s="4">
        <v>212</v>
      </c>
      <c r="B227" s="62">
        <v>45870</v>
      </c>
      <c r="C227" s="9">
        <f>$E$5*(1+'Nestlé India Limited'!B278/100)</f>
        <v>1702.5370915081542</v>
      </c>
      <c r="D227" s="9">
        <f>$E$6*(1+'Pidilite Industries Limited'!B278/100)</f>
        <v>2858.9</v>
      </c>
      <c r="E227" s="9">
        <f>$E$7*(1+'Divi''s Laboratories Limited'!B278/100)</f>
        <v>6361.5</v>
      </c>
      <c r="F227" s="9">
        <f>$E$8*(1+'Bosch Limited'!B278/100)</f>
        <v>40385.442279407689</v>
      </c>
      <c r="G227" s="9">
        <f>$E$9*(1+'UltraTech Cement Limited'!B278/100)</f>
        <v>12113</v>
      </c>
      <c r="I227" s="10">
        <f t="shared" si="25"/>
        <v>1.1711805766751472E-2</v>
      </c>
      <c r="J227" s="10">
        <f t="shared" si="21"/>
        <v>-3.8054054684911014E-3</v>
      </c>
      <c r="K227" s="10">
        <f t="shared" si="22"/>
        <v>-3.612339970621941E-2</v>
      </c>
      <c r="L227" s="10">
        <f t="shared" si="23"/>
        <v>-1.6592208139023178E-4</v>
      </c>
      <c r="M227" s="10">
        <f t="shared" si="24"/>
        <v>-1.1165044970883237E-2</v>
      </c>
      <c r="N227" s="10">
        <f t="shared" si="26"/>
        <v>-7.9095932920465028E-3</v>
      </c>
      <c r="P227" s="28">
        <f t="shared" si="27"/>
        <v>-3954.7966460232515</v>
      </c>
    </row>
    <row r="228" spans="1:16" ht="15" x14ac:dyDescent="0.2">
      <c r="A228" s="4">
        <v>213</v>
      </c>
      <c r="B228" s="62">
        <v>45869</v>
      </c>
      <c r="C228" s="9">
        <f>$E$5*(1+'Nestlé India Limited'!B279/100)</f>
        <v>1682.713618705603</v>
      </c>
      <c r="D228" s="9">
        <f>$E$6*(1+'Pidilite Industries Limited'!B279/100)</f>
        <v>2869.8</v>
      </c>
      <c r="E228" s="9">
        <f>$E$7*(1+'Divi''s Laboratories Limited'!B279/100)</f>
        <v>6595.5</v>
      </c>
      <c r="F228" s="9">
        <f>$E$8*(1+'Bosch Limited'!B279/100)</f>
        <v>40392.14367198768</v>
      </c>
      <c r="G228" s="9">
        <f>$E$9*(1+'UltraTech Cement Limited'!B279/100)</f>
        <v>12249</v>
      </c>
      <c r="I228" s="10">
        <f t="shared" si="25"/>
        <v>7.8325012424687659E-3</v>
      </c>
      <c r="J228" s="10">
        <f t="shared" si="21"/>
        <v>-1.4972408305458532E-3</v>
      </c>
      <c r="K228" s="10">
        <f t="shared" si="22"/>
        <v>-8.2292563609253442E-3</v>
      </c>
      <c r="L228" s="10">
        <f t="shared" si="23"/>
        <v>7.063610922206605E-3</v>
      </c>
      <c r="M228" s="10">
        <f t="shared" si="24"/>
        <v>-1.549945246456721E-3</v>
      </c>
      <c r="N228" s="10">
        <f t="shared" si="26"/>
        <v>7.2393394534949059E-4</v>
      </c>
      <c r="P228" s="28">
        <f t="shared" si="27"/>
        <v>361.96697267474531</v>
      </c>
    </row>
    <row r="229" spans="1:16" ht="15" x14ac:dyDescent="0.2">
      <c r="A229" s="4">
        <v>214</v>
      </c>
      <c r="B229" s="62">
        <v>45868</v>
      </c>
      <c r="C229" s="9">
        <f>$E$5*(1+'Nestlé India Limited'!B280/100)</f>
        <v>1669.5852433212722</v>
      </c>
      <c r="D229" s="9">
        <f>$E$6*(1+'Pidilite Industries Limited'!B280/100)</f>
        <v>2874.1</v>
      </c>
      <c r="E229" s="9">
        <f>$E$7*(1+'Divi''s Laboratories Limited'!B280/100)</f>
        <v>6650</v>
      </c>
      <c r="F229" s="9">
        <f>$E$8*(1+'Bosch Limited'!B280/100)</f>
        <v>40107.834591261824</v>
      </c>
      <c r="G229" s="9">
        <f>$E$9*(1+'UltraTech Cement Limited'!B280/100)</f>
        <v>12268</v>
      </c>
      <c r="I229" s="10">
        <f t="shared" si="25"/>
        <v>3.1862167103843915E-3</v>
      </c>
      <c r="J229" s="10">
        <f t="shared" si="21"/>
        <v>-6.5198774395963067E-3</v>
      </c>
      <c r="K229" s="10">
        <f t="shared" si="22"/>
        <v>-3.9770434741188757E-3</v>
      </c>
      <c r="L229" s="10">
        <f t="shared" si="23"/>
        <v>2.3994149052158852E-3</v>
      </c>
      <c r="M229" s="10">
        <f t="shared" si="24"/>
        <v>3.8384627961415554E-3</v>
      </c>
      <c r="N229" s="10">
        <f t="shared" si="26"/>
        <v>-2.1456530039466997E-4</v>
      </c>
      <c r="P229" s="28">
        <f t="shared" si="27"/>
        <v>-107.28265019733499</v>
      </c>
    </row>
    <row r="230" spans="1:16" ht="15" x14ac:dyDescent="0.2">
      <c r="A230" s="4">
        <v>215</v>
      </c>
      <c r="B230" s="62">
        <v>45867</v>
      </c>
      <c r="C230" s="9">
        <f>$E$5*(1+'Nestlé India Limited'!B281/100)</f>
        <v>1664.2740487213437</v>
      </c>
      <c r="D230" s="9">
        <f>$E$6*(1+'Pidilite Industries Limited'!B281/100)</f>
        <v>2892.9</v>
      </c>
      <c r="E230" s="9">
        <f>$E$7*(1+'Divi''s Laboratories Limited'!B281/100)</f>
        <v>6676.5</v>
      </c>
      <c r="F230" s="9">
        <f>$E$8*(1+'Bosch Limited'!B281/100)</f>
        <v>40011.714617092068</v>
      </c>
      <c r="G230" s="9">
        <f>$E$9*(1+'UltraTech Cement Limited'!B281/100)</f>
        <v>12221</v>
      </c>
      <c r="I230" s="10">
        <f t="shared" si="25"/>
        <v>-2.9845744454823891E-3</v>
      </c>
      <c r="J230" s="10">
        <f t="shared" si="21"/>
        <v>4.8859185507992408E-3</v>
      </c>
      <c r="K230" s="10">
        <f t="shared" si="22"/>
        <v>1.3951434767113071E-2</v>
      </c>
      <c r="L230" s="10">
        <f t="shared" si="23"/>
        <v>4.5566265991818712E-2</v>
      </c>
      <c r="M230" s="10">
        <f t="shared" si="24"/>
        <v>-1.5534936283165307E-3</v>
      </c>
      <c r="N230" s="10">
        <f t="shared" si="26"/>
        <v>1.1973110247186423E-2</v>
      </c>
      <c r="P230" s="28">
        <f t="shared" si="27"/>
        <v>5986.5551235932116</v>
      </c>
    </row>
    <row r="231" spans="1:16" ht="15" x14ac:dyDescent="0.2">
      <c r="A231" s="4">
        <v>216</v>
      </c>
      <c r="B231" s="62">
        <v>45866</v>
      </c>
      <c r="C231" s="9">
        <f>$E$5*(1+'Nestlé India Limited'!B282/100)</f>
        <v>1669.2486183114172</v>
      </c>
      <c r="D231" s="9">
        <f>$E$6*(1+'Pidilite Industries Limited'!B282/100)</f>
        <v>2878.8</v>
      </c>
      <c r="E231" s="9">
        <f>$E$7*(1+'Divi''s Laboratories Limited'!B282/100)</f>
        <v>6584</v>
      </c>
      <c r="F231" s="9">
        <f>$E$8*(1+'Bosch Limited'!B282/100)</f>
        <v>38229.444253168091</v>
      </c>
      <c r="G231" s="9">
        <f>$E$9*(1+'UltraTech Cement Limited'!B282/100)</f>
        <v>12240</v>
      </c>
      <c r="I231" s="10">
        <f t="shared" si="25"/>
        <v>-1.9328454019813205E-2</v>
      </c>
      <c r="J231" s="10">
        <f t="shared" si="21"/>
        <v>-3.7445435890170104E-3</v>
      </c>
      <c r="K231" s="10">
        <f t="shared" si="22"/>
        <v>-4.9240658561983822E-3</v>
      </c>
      <c r="L231" s="10">
        <f t="shared" si="23"/>
        <v>1.0582596413090185E-2</v>
      </c>
      <c r="M231" s="10">
        <f t="shared" si="24"/>
        <v>-8.1665990655597793E-4</v>
      </c>
      <c r="N231" s="10">
        <f t="shared" si="26"/>
        <v>-3.6462253916988781E-3</v>
      </c>
      <c r="P231" s="28">
        <f t="shared" si="27"/>
        <v>-1823.112695849439</v>
      </c>
    </row>
    <row r="232" spans="1:16" ht="15" x14ac:dyDescent="0.2">
      <c r="A232" s="4">
        <v>217</v>
      </c>
      <c r="B232" s="62">
        <v>45863</v>
      </c>
      <c r="C232" s="9">
        <f>$E$5*(1+'Nestlé India Limited'!B283/100)</f>
        <v>1701.8264387095721</v>
      </c>
      <c r="D232" s="9">
        <f>$E$6*(1+'Pidilite Industries Limited'!B283/100)</f>
        <v>2889.6</v>
      </c>
      <c r="E232" s="9">
        <f>$E$7*(1+'Divi''s Laboratories Limited'!B283/100)</f>
        <v>6616.5</v>
      </c>
      <c r="F232" s="9">
        <f>$E$8*(1+'Bosch Limited'!B283/100)</f>
        <v>37827.010625621762</v>
      </c>
      <c r="G232" s="9">
        <f>$E$9*(1+'UltraTech Cement Limited'!B283/100)</f>
        <v>12250</v>
      </c>
      <c r="I232" s="10">
        <f t="shared" si="25"/>
        <v>-1.9651786357663095E-2</v>
      </c>
      <c r="J232" s="10">
        <f t="shared" si="21"/>
        <v>-6.3130869440057667E-3</v>
      </c>
      <c r="K232" s="10">
        <f t="shared" si="22"/>
        <v>-3.0222894072136808E-4</v>
      </c>
      <c r="L232" s="10">
        <f t="shared" si="23"/>
        <v>-1.4426718878500233E-3</v>
      </c>
      <c r="M232" s="10">
        <f t="shared" si="24"/>
        <v>-4.3984757725523587E-3</v>
      </c>
      <c r="N232" s="10">
        <f t="shared" si="26"/>
        <v>-6.421649980558523E-3</v>
      </c>
      <c r="P232" s="28">
        <f t="shared" si="27"/>
        <v>-3210.8249902792613</v>
      </c>
    </row>
    <row r="233" spans="1:16" ht="15" x14ac:dyDescent="0.2">
      <c r="A233" s="4">
        <v>218</v>
      </c>
      <c r="B233" s="62">
        <v>45862</v>
      </c>
      <c r="C233" s="9">
        <f>$E$5*(1+'Nestlé India Limited'!B284/100)</f>
        <v>1735.6011480316545</v>
      </c>
      <c r="D233" s="9">
        <f>$E$6*(1+'Pidilite Industries Limited'!B284/100)</f>
        <v>2907.9</v>
      </c>
      <c r="E233" s="9">
        <f>$E$7*(1+'Divi''s Laboratories Limited'!B284/100)</f>
        <v>6618.5</v>
      </c>
      <c r="F233" s="9">
        <f>$E$8*(1+'Bosch Limited'!B284/100)</f>
        <v>37881.621974109468</v>
      </c>
      <c r="G233" s="9">
        <f>$E$9*(1+'UltraTech Cement Limited'!B284/100)</f>
        <v>12304.000000000002</v>
      </c>
      <c r="I233" s="10">
        <f t="shared" si="25"/>
        <v>-5.5598390374835757E-2</v>
      </c>
      <c r="J233" s="10">
        <f t="shared" si="21"/>
        <v>-3.7756617929740272E-3</v>
      </c>
      <c r="K233" s="10">
        <f t="shared" si="22"/>
        <v>-5.199122588062011E-3</v>
      </c>
      <c r="L233" s="10">
        <f t="shared" si="23"/>
        <v>-2.2944712015858328E-3</v>
      </c>
      <c r="M233" s="10">
        <f t="shared" si="24"/>
        <v>-5.5114420595348754E-3</v>
      </c>
      <c r="N233" s="10">
        <f t="shared" si="26"/>
        <v>-1.4475817603398502E-2</v>
      </c>
      <c r="P233" s="28">
        <f t="shared" si="27"/>
        <v>-7237.9088016992509</v>
      </c>
    </row>
    <row r="234" spans="1:16" ht="15" x14ac:dyDescent="0.2">
      <c r="A234" s="4">
        <v>219</v>
      </c>
      <c r="B234" s="62">
        <v>45861</v>
      </c>
      <c r="C234" s="9">
        <f>$E$5*(1+'Nestlé India Limited'!B285/100)</f>
        <v>1834.830720381028</v>
      </c>
      <c r="D234" s="9">
        <f>$E$6*(1+'Pidilite Industries Limited'!B285/100)</f>
        <v>2918.9</v>
      </c>
      <c r="E234" s="9">
        <f>$E$7*(1+'Divi''s Laboratories Limited'!B285/100)</f>
        <v>6653</v>
      </c>
      <c r="F234" s="9">
        <f>$E$8*(1+'Bosch Limited'!B285/100)</f>
        <v>37968.640056864606</v>
      </c>
      <c r="G234" s="9">
        <f>$E$9*(1+'UltraTech Cement Limited'!B285/100)</f>
        <v>12372</v>
      </c>
      <c r="I234" s="10">
        <f t="shared" si="25"/>
        <v>4.105775293096965E-3</v>
      </c>
      <c r="J234" s="10">
        <f t="shared" si="21"/>
        <v>-5.2620910049110186E-3</v>
      </c>
      <c r="K234" s="10">
        <f t="shared" si="22"/>
        <v>6.0304720672252413E-3</v>
      </c>
      <c r="L234" s="10">
        <f t="shared" si="23"/>
        <v>5.2970933127256458E-3</v>
      </c>
      <c r="M234" s="10">
        <f t="shared" si="24"/>
        <v>-6.4453977565384459E-3</v>
      </c>
      <c r="N234" s="10">
        <f t="shared" si="26"/>
        <v>7.451703823196773E-4</v>
      </c>
      <c r="P234" s="28">
        <f t="shared" si="27"/>
        <v>372.58519115983864</v>
      </c>
    </row>
    <row r="235" spans="1:16" ht="15" x14ac:dyDescent="0.2">
      <c r="A235" s="4">
        <v>220</v>
      </c>
      <c r="B235" s="62">
        <v>45860</v>
      </c>
      <c r="C235" s="9">
        <f>$E$5*(1+'Nestlé India Limited'!B286/100)</f>
        <v>1827.3127618276078</v>
      </c>
      <c r="D235" s="9">
        <f>$E$6*(1+'Pidilite Industries Limited'!B286/100)</f>
        <v>2934.3</v>
      </c>
      <c r="E235" s="9">
        <f>$E$7*(1+'Divi''s Laboratories Limited'!B286/100)</f>
        <v>6613</v>
      </c>
      <c r="F235" s="9">
        <f>$E$8*(1+'Bosch Limited'!B286/100)</f>
        <v>37768.048372996294</v>
      </c>
      <c r="G235" s="9">
        <f>$E$9*(1+'UltraTech Cement Limited'!B286/100)</f>
        <v>12451.999999999998</v>
      </c>
      <c r="I235" s="10">
        <f t="shared" si="25"/>
        <v>-1.2246877782562095E-2</v>
      </c>
      <c r="J235" s="10">
        <f t="shared" si="21"/>
        <v>-1.0441834711348815E-2</v>
      </c>
      <c r="K235" s="10">
        <f t="shared" si="22"/>
        <v>-1.1277467089875164E-2</v>
      </c>
      <c r="L235" s="10">
        <f t="shared" si="23"/>
        <v>-1.7237924530249926E-2</v>
      </c>
      <c r="M235" s="10">
        <f t="shared" si="24"/>
        <v>-9.9884964856569169E-3</v>
      </c>
      <c r="N235" s="10">
        <f t="shared" si="26"/>
        <v>-1.2238520119938584E-2</v>
      </c>
      <c r="P235" s="28">
        <f t="shared" si="27"/>
        <v>-6119.2600599692923</v>
      </c>
    </row>
    <row r="236" spans="1:16" ht="15" x14ac:dyDescent="0.2">
      <c r="A236" s="4">
        <v>221</v>
      </c>
      <c r="B236" s="62">
        <v>45859</v>
      </c>
      <c r="C236" s="9">
        <f>$E$5*(1+'Nestlé India Limited'!B287/100)</f>
        <v>1849.8292347089957</v>
      </c>
      <c r="D236" s="9">
        <f>$E$6*(1+'Pidilite Industries Limited'!B287/100)</f>
        <v>2965.1</v>
      </c>
      <c r="E236" s="9">
        <f>$E$7*(1+'Divi''s Laboratories Limited'!B287/100)</f>
        <v>6688</v>
      </c>
      <c r="F236" s="9">
        <f>$E$8*(1+'Bosch Limited'!B287/100)</f>
        <v>38424.734835443276</v>
      </c>
      <c r="G236" s="9">
        <f>$E$9*(1+'UltraTech Cement Limited'!B287/100)</f>
        <v>12577</v>
      </c>
      <c r="I236" s="10">
        <f t="shared" si="25"/>
        <v>2.0219789108210843E-5</v>
      </c>
      <c r="J236" s="10">
        <f t="shared" si="21"/>
        <v>2.3635883504931178E-3</v>
      </c>
      <c r="K236" s="10">
        <f t="shared" si="22"/>
        <v>-6.4831256547519776E-3</v>
      </c>
      <c r="L236" s="10">
        <f t="shared" si="23"/>
        <v>4.9724180139542225E-3</v>
      </c>
      <c r="M236" s="10">
        <f t="shared" si="24"/>
        <v>6.3011175581286112E-3</v>
      </c>
      <c r="N236" s="10">
        <f t="shared" si="26"/>
        <v>1.434843611386437E-3</v>
      </c>
      <c r="P236" s="28">
        <f t="shared" si="27"/>
        <v>717.42180569321852</v>
      </c>
    </row>
    <row r="237" spans="1:16" ht="15" x14ac:dyDescent="0.2">
      <c r="A237" s="4">
        <v>222</v>
      </c>
      <c r="B237" s="62">
        <v>45856</v>
      </c>
      <c r="C237" s="9">
        <f>$E$5*(1+'Nestlé India Limited'!B288/100)</f>
        <v>1849.7918319301232</v>
      </c>
      <c r="D237" s="9">
        <f>$E$6*(1+'Pidilite Industries Limited'!B288/100)</f>
        <v>2958.1</v>
      </c>
      <c r="E237" s="9">
        <f>$E$7*(1+'Divi''s Laboratories Limited'!B288/100)</f>
        <v>6731.5</v>
      </c>
      <c r="F237" s="9">
        <f>$E$8*(1+'Bosch Limited'!B288/100)</f>
        <v>38234.145230052563</v>
      </c>
      <c r="G237" s="9">
        <f>$E$9*(1+'UltraTech Cement Limited'!B288/100)</f>
        <v>12498</v>
      </c>
      <c r="I237" s="10">
        <f t="shared" si="25"/>
        <v>9.773421559156021E-3</v>
      </c>
      <c r="J237" s="10">
        <f t="shared" si="21"/>
        <v>-1.1495152122196706E-2</v>
      </c>
      <c r="K237" s="10">
        <f t="shared" si="22"/>
        <v>-8.7265751248335501E-3</v>
      </c>
      <c r="L237" s="10">
        <f t="shared" si="23"/>
        <v>-1.0932482709180884E-2</v>
      </c>
      <c r="M237" s="10">
        <f t="shared" si="24"/>
        <v>2.4006721997433248E-4</v>
      </c>
      <c r="N237" s="10">
        <f t="shared" si="26"/>
        <v>-4.2281442354161576E-3</v>
      </c>
      <c r="P237" s="28">
        <f t="shared" si="27"/>
        <v>-2114.0721177080786</v>
      </c>
    </row>
    <row r="238" spans="1:16" ht="15" x14ac:dyDescent="0.2">
      <c r="A238" s="4">
        <v>223</v>
      </c>
      <c r="B238" s="62">
        <v>45855</v>
      </c>
      <c r="C238" s="9">
        <f>$E$5*(1+'Nestlé India Limited'!B289/100)</f>
        <v>1831.8010952923362</v>
      </c>
      <c r="D238" s="9">
        <f>$E$6*(1+'Pidilite Industries Limited'!B289/100)</f>
        <v>2992.3</v>
      </c>
      <c r="E238" s="9">
        <f>$E$7*(1+'Divi''s Laboratories Limited'!B289/100)</f>
        <v>6790.5000000000009</v>
      </c>
      <c r="F238" s="9">
        <f>$E$8*(1+'Bosch Limited'!B289/100)</f>
        <v>38654.432567681419</v>
      </c>
      <c r="G238" s="9">
        <f>$E$9*(1+'UltraTech Cement Limited'!B289/100)</f>
        <v>12495</v>
      </c>
      <c r="I238" s="10">
        <f t="shared" si="25"/>
        <v>-5.6603156379127374E-3</v>
      </c>
      <c r="J238" s="10">
        <f t="shared" si="21"/>
        <v>1.43805519490133E-3</v>
      </c>
      <c r="K238" s="10">
        <f t="shared" si="22"/>
        <v>-5.9464991877261914E-3</v>
      </c>
      <c r="L238" s="10">
        <f t="shared" si="23"/>
        <v>4.7061900718764864E-3</v>
      </c>
      <c r="M238" s="10">
        <f t="shared" si="24"/>
        <v>3.3670065479042485E-3</v>
      </c>
      <c r="N238" s="10">
        <f t="shared" si="26"/>
        <v>-4.1911260219137285E-4</v>
      </c>
      <c r="P238" s="28">
        <f t="shared" si="27"/>
        <v>-209.55630109568642</v>
      </c>
    </row>
    <row r="239" spans="1:16" ht="15" x14ac:dyDescent="0.2">
      <c r="A239" s="4">
        <v>224</v>
      </c>
      <c r="B239" s="62">
        <v>45854</v>
      </c>
      <c r="C239" s="9">
        <f>$E$5*(1+'Nestlé India Limited'!B290/100)</f>
        <v>1842.1990678189572</v>
      </c>
      <c r="D239" s="9">
        <f>$E$6*(1+'Pidilite Industries Limited'!B290/100)</f>
        <v>2988</v>
      </c>
      <c r="E239" s="9">
        <f>$E$7*(1+'Divi''s Laboratories Limited'!B290/100)</f>
        <v>6831</v>
      </c>
      <c r="F239" s="9">
        <f>$E$8*(1+'Bosch Limited'!B290/100)</f>
        <v>38472.944853705325</v>
      </c>
      <c r="G239" s="9">
        <f>$E$9*(1+'UltraTech Cement Limited'!B290/100)</f>
        <v>12453</v>
      </c>
      <c r="I239" s="10">
        <f t="shared" si="25"/>
        <v>1.8814343551948467E-2</v>
      </c>
      <c r="J239" s="10">
        <f t="shared" si="21"/>
        <v>-3.4078413255063146E-3</v>
      </c>
      <c r="K239" s="10">
        <f t="shared" si="22"/>
        <v>6.0201341791072558E-3</v>
      </c>
      <c r="L239" s="10">
        <f t="shared" si="23"/>
        <v>4.024732103127553E-3</v>
      </c>
      <c r="M239" s="10">
        <f t="shared" si="24"/>
        <v>-3.927073770609215E-3</v>
      </c>
      <c r="N239" s="10">
        <f t="shared" si="26"/>
        <v>4.3048589476135501E-3</v>
      </c>
      <c r="P239" s="28">
        <f t="shared" si="27"/>
        <v>2152.4294738067751</v>
      </c>
    </row>
    <row r="240" spans="1:16" ht="15" x14ac:dyDescent="0.2">
      <c r="A240" s="4">
        <v>225</v>
      </c>
      <c r="B240" s="62">
        <v>45853</v>
      </c>
      <c r="C240" s="9">
        <f>$E$5*(1+'Nestlé India Limited'!B291/100)</f>
        <v>1807.8633168137837</v>
      </c>
      <c r="D240" s="9">
        <f>$E$6*(1+'Pidilite Industries Limited'!B291/100)</f>
        <v>2998.2</v>
      </c>
      <c r="E240" s="9">
        <f>$E$7*(1+'Divi''s Laboratories Limited'!B291/100)</f>
        <v>6790.0000000000009</v>
      </c>
      <c r="F240" s="9">
        <f>$E$8*(1+'Bosch Limited'!B291/100)</f>
        <v>38318.412741226362</v>
      </c>
      <c r="G240" s="9">
        <f>$E$9*(1+'UltraTech Cement Limited'!B291/100)</f>
        <v>12502</v>
      </c>
      <c r="I240" s="10">
        <f t="shared" si="25"/>
        <v>9.6669325121509879E-3</v>
      </c>
      <c r="J240" s="10">
        <f t="shared" si="21"/>
        <v>1.1337457501010374E-2</v>
      </c>
      <c r="K240" s="10">
        <f t="shared" si="22"/>
        <v>1.695103033297726E-3</v>
      </c>
      <c r="L240" s="10">
        <f t="shared" si="23"/>
        <v>1.2127392783544976E-2</v>
      </c>
      <c r="M240" s="10">
        <f t="shared" si="24"/>
        <v>-1.1191942970151119E-3</v>
      </c>
      <c r="N240" s="10">
        <f t="shared" si="26"/>
        <v>6.7415383065977915E-3</v>
      </c>
      <c r="P240" s="28">
        <f t="shared" si="27"/>
        <v>3370.7691532988956</v>
      </c>
    </row>
    <row r="241" spans="1:16" ht="15" x14ac:dyDescent="0.2">
      <c r="A241" s="4">
        <v>226</v>
      </c>
      <c r="B241" s="62">
        <v>45852</v>
      </c>
      <c r="C241" s="9">
        <f>$E$5*(1+'Nestlé India Limited'!B292/100)</f>
        <v>1790.4710246379609</v>
      </c>
      <c r="D241" s="9">
        <f>$E$6*(1+'Pidilite Industries Limited'!B292/100)</f>
        <v>2964.4</v>
      </c>
      <c r="E241" s="9">
        <f>$E$7*(1+'Divi''s Laboratories Limited'!B292/100)</f>
        <v>6778.5000000000009</v>
      </c>
      <c r="F241" s="9">
        <f>$E$8*(1+'Bosch Limited'!B292/100)</f>
        <v>37856.516757130688</v>
      </c>
      <c r="G241" s="9">
        <f>$E$9*(1+'UltraTech Cement Limited'!B292/100)</f>
        <v>12516</v>
      </c>
      <c r="I241" s="10">
        <f t="shared" si="25"/>
        <v>-3.7115078365568292E-3</v>
      </c>
      <c r="J241" s="10">
        <f t="shared" si="21"/>
        <v>-1.2204268690473835E-2</v>
      </c>
      <c r="K241" s="10">
        <f t="shared" si="22"/>
        <v>-8.300631638605855E-3</v>
      </c>
      <c r="L241" s="10">
        <f t="shared" si="23"/>
        <v>3.5977618749217365E-2</v>
      </c>
      <c r="M241" s="10">
        <f t="shared" si="24"/>
        <v>1.6792615197199939E-3</v>
      </c>
      <c r="N241" s="10">
        <f t="shared" si="26"/>
        <v>2.6880944206601684E-3</v>
      </c>
      <c r="P241" s="28">
        <f t="shared" si="27"/>
        <v>1344.0472103300842</v>
      </c>
    </row>
    <row r="242" spans="1:16" ht="15" x14ac:dyDescent="0.2">
      <c r="A242" s="4">
        <v>227</v>
      </c>
      <c r="B242" s="62">
        <v>45849</v>
      </c>
      <c r="C242" s="9">
        <f>$E$5*(1+'Nestlé India Limited'!B293/100)</f>
        <v>1797.1287192773084</v>
      </c>
      <c r="D242" s="9">
        <f>$E$6*(1+'Pidilite Industries Limited'!B293/100)</f>
        <v>3000.8</v>
      </c>
      <c r="E242" s="9">
        <f>$E$7*(1+'Divi''s Laboratories Limited'!B293/100)</f>
        <v>6835.0000000000009</v>
      </c>
      <c r="F242" s="9">
        <f>$E$8*(1+'Bosch Limited'!B293/100)</f>
        <v>36518.738760751359</v>
      </c>
      <c r="G242" s="9">
        <f>$E$9*(1+'UltraTech Cement Limited'!B293/100)</f>
        <v>12495</v>
      </c>
      <c r="I242" s="10">
        <f t="shared" si="25"/>
        <v>5.6209600830434657E-4</v>
      </c>
      <c r="J242" s="10">
        <f t="shared" si="21"/>
        <v>-2.1201275497810097E-2</v>
      </c>
      <c r="K242" s="10">
        <f t="shared" si="22"/>
        <v>-1.3889398775168193E-3</v>
      </c>
      <c r="L242" s="10">
        <f t="shared" si="23"/>
        <v>8.0366113584093117E-3</v>
      </c>
      <c r="M242" s="10">
        <f t="shared" si="24"/>
        <v>-1.6792615197200253E-3</v>
      </c>
      <c r="N242" s="10">
        <f t="shared" si="26"/>
        <v>-3.1341539056666565E-3</v>
      </c>
      <c r="P242" s="28">
        <f t="shared" si="27"/>
        <v>-1567.0769528333283</v>
      </c>
    </row>
    <row r="243" spans="1:16" ht="15" x14ac:dyDescent="0.2">
      <c r="A243" s="4">
        <v>228</v>
      </c>
      <c r="B243" s="62">
        <v>45848</v>
      </c>
      <c r="C243" s="9">
        <f>$E$5*(1+'Nestlé India Limited'!B294/100)</f>
        <v>1796.1188442477444</v>
      </c>
      <c r="D243" s="9">
        <f>$E$6*(1+'Pidilite Industries Limited'!B294/100)</f>
        <v>3065.1000000000004</v>
      </c>
      <c r="E243" s="9">
        <f>$E$7*(1+'Divi''s Laboratories Limited'!B294/100)</f>
        <v>6844.5</v>
      </c>
      <c r="F243" s="9">
        <f>$E$8*(1+'Bosch Limited'!B294/100)</f>
        <v>36226.42801724343</v>
      </c>
      <c r="G243" s="9">
        <f>$E$9*(1+'UltraTech Cement Limited'!B294/100)</f>
        <v>12516</v>
      </c>
      <c r="I243" s="10">
        <f t="shared" si="25"/>
        <v>-1.074978506578503E-2</v>
      </c>
      <c r="J243" s="10">
        <f t="shared" si="21"/>
        <v>5.4961371055422346E-3</v>
      </c>
      <c r="K243" s="10">
        <f t="shared" si="22"/>
        <v>-2.0104813710259059E-2</v>
      </c>
      <c r="L243" s="10">
        <f t="shared" si="23"/>
        <v>1.1339935539593239E-2</v>
      </c>
      <c r="M243" s="10">
        <f t="shared" si="24"/>
        <v>-3.6685582255532702E-3</v>
      </c>
      <c r="N243" s="10">
        <f t="shared" si="26"/>
        <v>-3.5374168712923766E-3</v>
      </c>
      <c r="P243" s="28">
        <f t="shared" si="27"/>
        <v>-1768.7084356461883</v>
      </c>
    </row>
    <row r="244" spans="1:16" ht="15" x14ac:dyDescent="0.2">
      <c r="A244" s="4">
        <v>229</v>
      </c>
      <c r="B244" s="62">
        <v>45847</v>
      </c>
      <c r="C244" s="9">
        <f>$E$5*(1+'Nestlé India Limited'!B295/100)</f>
        <v>1815.5308864826952</v>
      </c>
      <c r="D244" s="9">
        <f>$E$6*(1+'Pidilite Industries Limited'!B295/100)</f>
        <v>3048.3</v>
      </c>
      <c r="E244" s="9">
        <f>$E$7*(1+'Divi''s Laboratories Limited'!B295/100)</f>
        <v>6983.5</v>
      </c>
      <c r="F244" s="9">
        <f>$E$8*(1+'Bosch Limited'!B295/100)</f>
        <v>35817.943132218141</v>
      </c>
      <c r="G244" s="9">
        <f>$E$9*(1+'UltraTech Cement Limited'!B295/100)</f>
        <v>12562</v>
      </c>
      <c r="I244" s="10">
        <f t="shared" si="25"/>
        <v>3.7565319000361346E-3</v>
      </c>
      <c r="J244" s="10">
        <f t="shared" si="21"/>
        <v>-6.3114387307584962E-3</v>
      </c>
      <c r="K244" s="10">
        <f t="shared" si="22"/>
        <v>6.5366752161309999E-3</v>
      </c>
      <c r="L244" s="10">
        <f t="shared" si="23"/>
        <v>8.5380419968392011E-3</v>
      </c>
      <c r="M244" s="10">
        <f t="shared" si="24"/>
        <v>9.357448212633894E-3</v>
      </c>
      <c r="N244" s="10">
        <f t="shared" si="26"/>
        <v>4.3754517189763462E-3</v>
      </c>
      <c r="P244" s="28">
        <f t="shared" si="27"/>
        <v>2187.7258594881732</v>
      </c>
    </row>
    <row r="245" spans="1:16" ht="15" x14ac:dyDescent="0.2">
      <c r="A245" s="4">
        <v>230</v>
      </c>
      <c r="B245" s="62">
        <v>45846</v>
      </c>
      <c r="C245" s="9">
        <f>$E$5*(1+'Nestlé India Limited'!B296/100)</f>
        <v>1808.7235807278571</v>
      </c>
      <c r="D245" s="9">
        <f>$E$6*(1+'Pidilite Industries Limited'!B296/100)</f>
        <v>3067.5999999999995</v>
      </c>
      <c r="E245" s="9">
        <f>$E$7*(1+'Divi''s Laboratories Limited'!B296/100)</f>
        <v>6938</v>
      </c>
      <c r="F245" s="9">
        <f>$E$8*(1+'Bosch Limited'!B296/100)</f>
        <v>35513.429852967543</v>
      </c>
      <c r="G245" s="9">
        <f>$E$9*(1+'UltraTech Cement Limited'!B296/100)</f>
        <v>12444.999999999998</v>
      </c>
      <c r="I245" s="10">
        <f t="shared" si="25"/>
        <v>-2.086411201311244E-3</v>
      </c>
      <c r="J245" s="10">
        <f t="shared" si="21"/>
        <v>-1.5635182338228704E-3</v>
      </c>
      <c r="K245" s="10">
        <f t="shared" si="22"/>
        <v>7.1601940450413846E-3</v>
      </c>
      <c r="L245" s="10">
        <f t="shared" si="23"/>
        <v>-1.6041133919998712E-2</v>
      </c>
      <c r="M245" s="10">
        <f t="shared" si="24"/>
        <v>8.0678130224123845E-3</v>
      </c>
      <c r="N245" s="10">
        <f t="shared" si="26"/>
        <v>-8.9261125753581144E-4</v>
      </c>
      <c r="P245" s="28">
        <f t="shared" si="27"/>
        <v>-446.30562876790572</v>
      </c>
    </row>
    <row r="246" spans="1:16" ht="15" x14ac:dyDescent="0.2">
      <c r="A246" s="4">
        <v>231</v>
      </c>
      <c r="B246" s="62">
        <v>45845</v>
      </c>
      <c r="C246" s="9">
        <f>$E$5*(1+'Nestlé India Limited'!B297/100)</f>
        <v>1812.5012613940032</v>
      </c>
      <c r="D246" s="9">
        <f>$E$6*(1+'Pidilite Industries Limited'!B297/100)</f>
        <v>3072.4</v>
      </c>
      <c r="E246" s="9">
        <f>$E$7*(1+'Divi''s Laboratories Limited'!B297/100)</f>
        <v>6888.5</v>
      </c>
      <c r="F246" s="9">
        <f>$E$8*(1+'Bosch Limited'!B297/100)</f>
        <v>36087.699188759078</v>
      </c>
      <c r="G246" s="9">
        <f>$E$9*(1+'UltraTech Cement Limited'!B297/100)</f>
        <v>12345</v>
      </c>
      <c r="I246" s="10">
        <f t="shared" si="25"/>
        <v>1.2835067165785523E-2</v>
      </c>
      <c r="J246" s="10">
        <f t="shared" si="21"/>
        <v>-2.5355147998383366E-3</v>
      </c>
      <c r="K246" s="10">
        <f t="shared" si="22"/>
        <v>-2.6096426553608269E-3</v>
      </c>
      <c r="L246" s="10">
        <f t="shared" si="23"/>
        <v>4.2760123453388773E-3</v>
      </c>
      <c r="M246" s="10">
        <f t="shared" si="24"/>
        <v>-1.2957406347963382E-2</v>
      </c>
      <c r="N246" s="10">
        <f t="shared" si="26"/>
        <v>-1.9829685840762898E-4</v>
      </c>
      <c r="P246" s="28">
        <f t="shared" si="27"/>
        <v>-99.148429203814487</v>
      </c>
    </row>
    <row r="247" spans="1:16" ht="15" x14ac:dyDescent="0.2">
      <c r="A247" s="4">
        <v>232</v>
      </c>
      <c r="B247" s="62">
        <v>45842</v>
      </c>
      <c r="C247" s="9">
        <f>$E$5*(1+'Nestlé India Limited'!B298/100)</f>
        <v>1789.3863440506516</v>
      </c>
      <c r="D247" s="9">
        <f>$E$6*(1+'Pidilite Industries Limited'!B298/100)</f>
        <v>3080.2000000000003</v>
      </c>
      <c r="E247" s="9">
        <f>$E$7*(1+'Divi''s Laboratories Limited'!B298/100)</f>
        <v>6906.5</v>
      </c>
      <c r="F247" s="9">
        <f>$E$8*(1+'Bosch Limited'!B298/100)</f>
        <v>35933.717190596399</v>
      </c>
      <c r="G247" s="9">
        <f>$E$9*(1+'UltraTech Cement Limited'!B298/100)</f>
        <v>12506</v>
      </c>
      <c r="I247" s="10">
        <f t="shared" si="25"/>
        <v>1.4642516108198766E-3</v>
      </c>
      <c r="J247" s="10">
        <f t="shared" si="21"/>
        <v>-1.1074095769835009E-2</v>
      </c>
      <c r="K247" s="10">
        <f t="shared" si="22"/>
        <v>4.4259096372746276E-3</v>
      </c>
      <c r="L247" s="10">
        <f t="shared" si="23"/>
        <v>4.3746019908678629E-2</v>
      </c>
      <c r="M247" s="10">
        <f t="shared" si="24"/>
        <v>8.6733598653784879E-3</v>
      </c>
      <c r="N247" s="10">
        <f t="shared" si="26"/>
        <v>9.4470890504633233E-3</v>
      </c>
      <c r="P247" s="28">
        <f t="shared" si="27"/>
        <v>4723.5445252316613</v>
      </c>
    </row>
    <row r="248" spans="1:16" ht="15" x14ac:dyDescent="0.2">
      <c r="A248" s="4">
        <v>233</v>
      </c>
      <c r="B248" s="62">
        <v>45841</v>
      </c>
      <c r="C248" s="9">
        <f>$E$5*(1+'Nestlé India Limited'!B299/100)</f>
        <v>1786.7681495295601</v>
      </c>
      <c r="D248" s="9">
        <f>$E$6*(1+'Pidilite Industries Limited'!B299/100)</f>
        <v>3114.5</v>
      </c>
      <c r="E248" s="9">
        <f>$E$7*(1+'Divi''s Laboratories Limited'!B299/100)</f>
        <v>6876</v>
      </c>
      <c r="F248" s="9">
        <f>$E$8*(1+'Bosch Limited'!B299/100)</f>
        <v>34395.647572703085</v>
      </c>
      <c r="G248" s="9">
        <f>$E$9*(1+'UltraTech Cement Limited'!B299/100)</f>
        <v>12398</v>
      </c>
      <c r="I248" s="10">
        <f t="shared" si="25"/>
        <v>1.2560710115347285E-4</v>
      </c>
      <c r="J248" s="10">
        <f t="shared" si="21"/>
        <v>1.2243534572549465E-2</v>
      </c>
      <c r="K248" s="10">
        <f t="shared" si="22"/>
        <v>2.4025347365202944E-3</v>
      </c>
      <c r="L248" s="10">
        <f t="shared" si="23"/>
        <v>5.7553459740300267E-2</v>
      </c>
      <c r="M248" s="10">
        <f t="shared" si="24"/>
        <v>-3.0603229167799218E-3</v>
      </c>
      <c r="N248" s="10">
        <f t="shared" si="26"/>
        <v>1.3852962646748717E-2</v>
      </c>
      <c r="P248" s="28">
        <f t="shared" si="27"/>
        <v>6926.4813233743589</v>
      </c>
    </row>
    <row r="249" spans="1:16" ht="15" x14ac:dyDescent="0.2">
      <c r="A249" s="4">
        <v>234</v>
      </c>
      <c r="B249" s="62">
        <v>45840</v>
      </c>
      <c r="C249" s="9">
        <f>$E$5*(1+'Nestlé India Limited'!B300/100)</f>
        <v>1786.5437328563235</v>
      </c>
      <c r="D249" s="9">
        <f>$E$6*(1+'Pidilite Industries Limited'!B300/100)</f>
        <v>3076.6000000000004</v>
      </c>
      <c r="E249" s="9">
        <f>$E$7*(1+'Divi''s Laboratories Limited'!B300/100)</f>
        <v>6859.5</v>
      </c>
      <c r="F249" s="9">
        <f>$E$8*(1+'Bosch Limited'!B300/100)</f>
        <v>32471.947819105812</v>
      </c>
      <c r="G249" s="9">
        <f>$E$9*(1+'UltraTech Cement Limited'!B300/100)</f>
        <v>12436.000000000002</v>
      </c>
      <c r="I249" s="10">
        <f t="shared" si="25"/>
        <v>-9.1695963943720059E-3</v>
      </c>
      <c r="J249" s="10">
        <f t="shared" si="21"/>
        <v>1.0061498704060229E-2</v>
      </c>
      <c r="K249" s="10">
        <f t="shared" si="22"/>
        <v>4.3744532631104406E-4</v>
      </c>
      <c r="L249" s="10">
        <f t="shared" si="23"/>
        <v>4.0664483458058174E-3</v>
      </c>
      <c r="M249" s="10">
        <f t="shared" si="24"/>
        <v>1.8340204073894119E-2</v>
      </c>
      <c r="N249" s="10">
        <f t="shared" si="26"/>
        <v>4.7472000111398408E-3</v>
      </c>
      <c r="P249" s="28">
        <f t="shared" si="27"/>
        <v>2373.6000055699205</v>
      </c>
    </row>
    <row r="250" spans="1:16" ht="15" x14ac:dyDescent="0.2">
      <c r="A250" s="4">
        <v>235</v>
      </c>
      <c r="B250" s="62">
        <v>45839</v>
      </c>
      <c r="C250" s="9">
        <f>$E$5*(1+'Nestlé India Limited'!B301/100)</f>
        <v>1803.0009555603281</v>
      </c>
      <c r="D250" s="9">
        <f>$E$6*(1+'Pidilite Industries Limited'!B301/100)</f>
        <v>3045.8</v>
      </c>
      <c r="E250" s="9">
        <f>$E$7*(1+'Divi''s Laboratories Limited'!B301/100)</f>
        <v>6856.4999999999991</v>
      </c>
      <c r="F250" s="9">
        <f>$E$8*(1+'Bosch Limited'!B301/100)</f>
        <v>32340.1704351634</v>
      </c>
      <c r="G250" s="9">
        <f>$E$9*(1+'UltraTech Cement Limited'!B301/100)</f>
        <v>12210</v>
      </c>
      <c r="I250" s="10">
        <f t="shared" si="25"/>
        <v>-2.26844297761544E-2</v>
      </c>
      <c r="J250" s="10">
        <f t="shared" si="21"/>
        <v>-2.8195815538927947E-3</v>
      </c>
      <c r="K250" s="10">
        <f t="shared" si="22"/>
        <v>6.8784114308965017E-3</v>
      </c>
      <c r="L250" s="10">
        <f t="shared" si="23"/>
        <v>-1.0019701474189667E-2</v>
      </c>
      <c r="M250" s="10">
        <f t="shared" si="24"/>
        <v>9.6285153194748743E-3</v>
      </c>
      <c r="N250" s="10">
        <f t="shared" si="26"/>
        <v>-3.803357210773098E-3</v>
      </c>
      <c r="P250" s="28">
        <f t="shared" si="27"/>
        <v>-1901.678605386549</v>
      </c>
    </row>
    <row r="251" spans="1:16" ht="15" x14ac:dyDescent="0.2">
      <c r="A251" s="4">
        <v>236</v>
      </c>
      <c r="B251" s="62">
        <v>45838</v>
      </c>
      <c r="C251" s="9">
        <f>$E$5*(1+'Nestlé India Limited'!B302/100)</f>
        <v>1844.3684289935761</v>
      </c>
      <c r="D251" s="9">
        <f>$E$6*(1+'Pidilite Industries Limited'!B302/100)</f>
        <v>3054.4000000000005</v>
      </c>
      <c r="E251" s="9">
        <f>$E$7*(1+'Divi''s Laboratories Limited'!B302/100)</f>
        <v>6809.5</v>
      </c>
      <c r="F251" s="9">
        <f>$E$8*(1+'Bosch Limited'!B302/100)</f>
        <v>32665.838110394128</v>
      </c>
      <c r="G251" s="9">
        <f>$E$9*(1+'UltraTech Cement Limited'!B302/100)</f>
        <v>12093</v>
      </c>
      <c r="I251" s="10">
        <f t="shared" si="25"/>
        <v>3.1686090736105029E-3</v>
      </c>
      <c r="J251" s="10">
        <f t="shared" si="21"/>
        <v>8.8436159773715151E-4</v>
      </c>
      <c r="K251" s="10">
        <f t="shared" si="22"/>
        <v>2.2499556874041836E-2</v>
      </c>
      <c r="L251" s="10">
        <f t="shared" si="23"/>
        <v>1.2534191300368499E-2</v>
      </c>
      <c r="M251" s="10">
        <f t="shared" si="24"/>
        <v>-9.874185385812943E-3</v>
      </c>
      <c r="N251" s="10">
        <f t="shared" si="26"/>
        <v>5.8425066919890085E-3</v>
      </c>
      <c r="P251" s="28">
        <f t="shared" si="27"/>
        <v>2921.2533459945043</v>
      </c>
    </row>
    <row r="252" spans="1:16" ht="15" x14ac:dyDescent="0.2">
      <c r="A252" s="4">
        <v>237</v>
      </c>
      <c r="B252" s="62">
        <v>45835</v>
      </c>
      <c r="C252" s="9">
        <f>$E$5*(1+'Nestlé India Limited'!B303/100)</f>
        <v>1838.533595489429</v>
      </c>
      <c r="D252" s="9">
        <f>$E$6*(1+'Pidilite Industries Limited'!B303/100)</f>
        <v>3051.7000000000003</v>
      </c>
      <c r="E252" s="9">
        <f>$E$7*(1+'Divi''s Laboratories Limited'!B303/100)</f>
        <v>6658</v>
      </c>
      <c r="F252" s="9">
        <f>$E$8*(1+'Bosch Limited'!B303/100)</f>
        <v>32258.953557925266</v>
      </c>
      <c r="G252" s="9">
        <f>$E$9*(1+'UltraTech Cement Limited'!B303/100)</f>
        <v>12212.999999999998</v>
      </c>
      <c r="I252" s="10">
        <f t="shared" si="25"/>
        <v>1.1437347826391794E-2</v>
      </c>
      <c r="J252" s="10">
        <f t="shared" si="21"/>
        <v>1.0441981004830757E-2</v>
      </c>
      <c r="K252" s="10">
        <f t="shared" si="22"/>
        <v>6.3281814314430744E-3</v>
      </c>
      <c r="L252" s="10">
        <f t="shared" si="23"/>
        <v>3.4880036356902525E-3</v>
      </c>
      <c r="M252" s="10">
        <f t="shared" si="24"/>
        <v>2.1686001304207263E-2</v>
      </c>
      <c r="N252" s="10">
        <f t="shared" si="26"/>
        <v>1.067630304051263E-2</v>
      </c>
      <c r="P252" s="28">
        <f t="shared" si="27"/>
        <v>5338.1515202563151</v>
      </c>
    </row>
    <row r="253" spans="1:16" ht="15" x14ac:dyDescent="0.2">
      <c r="A253" s="4">
        <v>238</v>
      </c>
      <c r="B253" s="62">
        <v>45834</v>
      </c>
      <c r="C253" s="9">
        <f>$E$5*(1+'Nestlé India Limited'!B304/100)</f>
        <v>1817.6254420995688</v>
      </c>
      <c r="D253" s="9">
        <f>$E$6*(1+'Pidilite Industries Limited'!B304/100)</f>
        <v>3020</v>
      </c>
      <c r="E253" s="9">
        <f>$E$7*(1+'Divi''s Laboratories Limited'!B304/100)</f>
        <v>6616</v>
      </c>
      <c r="F253" s="9">
        <f>$E$8*(1+'Bosch Limited'!B304/100)</f>
        <v>32146.63021662179</v>
      </c>
      <c r="G253" s="9">
        <f>$E$9*(1+'UltraTech Cement Limited'!B304/100)</f>
        <v>11951.000000000002</v>
      </c>
      <c r="I253" s="10">
        <f t="shared" si="25"/>
        <v>1.048776226306832E-2</v>
      </c>
      <c r="J253" s="10">
        <f t="shared" si="21"/>
        <v>4.6798074090816828E-3</v>
      </c>
      <c r="K253" s="10">
        <f t="shared" si="22"/>
        <v>4.4688580336453409E-3</v>
      </c>
      <c r="L253" s="10">
        <f t="shared" si="23"/>
        <v>9.1205090555007019E-3</v>
      </c>
      <c r="M253" s="10">
        <f t="shared" si="24"/>
        <v>1.8409572443257281E-2</v>
      </c>
      <c r="N253" s="10">
        <f t="shared" si="26"/>
        <v>9.4333018409106656E-3</v>
      </c>
      <c r="P253" s="28">
        <f t="shared" si="27"/>
        <v>4716.6509204553331</v>
      </c>
    </row>
    <row r="254" spans="1:16" ht="15" x14ac:dyDescent="0.2">
      <c r="A254" s="4">
        <v>239</v>
      </c>
      <c r="B254" s="62">
        <v>45833</v>
      </c>
      <c r="C254" s="9">
        <f>$E$5*(1+'Nestlé India Limited'!B305/100)</f>
        <v>1798.6622332110903</v>
      </c>
      <c r="D254" s="9">
        <f>$E$6*(1+'Pidilite Industries Limited'!B305/100)</f>
        <v>3005.9</v>
      </c>
      <c r="E254" s="9">
        <f>$E$7*(1+'Divi''s Laboratories Limited'!B305/100)</f>
        <v>6586.5</v>
      </c>
      <c r="F254" s="9">
        <f>$E$8*(1+'Bosch Limited'!B305/100)</f>
        <v>31854.769566645355</v>
      </c>
      <c r="G254" s="9">
        <f>$E$9*(1+'UltraTech Cement Limited'!B305/100)</f>
        <v>11733.000000000002</v>
      </c>
      <c r="I254" s="10">
        <f t="shared" si="25"/>
        <v>1.438903882571535E-2</v>
      </c>
      <c r="J254" s="10">
        <f t="shared" si="21"/>
        <v>1.1983623816856281E-3</v>
      </c>
      <c r="K254" s="10">
        <f t="shared" si="22"/>
        <v>3.1934333708220452E-3</v>
      </c>
      <c r="L254" s="10">
        <f t="shared" si="23"/>
        <v>1.0493461195169354E-2</v>
      </c>
      <c r="M254" s="10">
        <f t="shared" si="24"/>
        <v>1.3212271811350824E-2</v>
      </c>
      <c r="N254" s="10">
        <f t="shared" si="26"/>
        <v>8.4973135169486395E-3</v>
      </c>
      <c r="P254" s="28">
        <f t="shared" si="27"/>
        <v>4248.6567584743198</v>
      </c>
    </row>
    <row r="255" spans="1:16" ht="15" x14ac:dyDescent="0.2">
      <c r="A255" s="4">
        <v>240</v>
      </c>
      <c r="B255" s="62">
        <v>45832</v>
      </c>
      <c r="C255" s="9">
        <f>$E$5*(1+'Nestlé India Limited'!B306/100)</f>
        <v>1772.9665241255195</v>
      </c>
      <c r="D255" s="9">
        <f>$E$6*(1+'Pidilite Industries Limited'!B306/100)</f>
        <v>3002.3</v>
      </c>
      <c r="E255" s="9">
        <f>$E$7*(1+'Divi''s Laboratories Limited'!B306/100)</f>
        <v>6565.5</v>
      </c>
      <c r="F255" s="9">
        <f>$E$8*(1+'Bosch Limited'!B306/100)</f>
        <v>31522.250467657461</v>
      </c>
      <c r="G255" s="9">
        <f>$E$9*(1+'UltraTech Cement Limited'!B306/100)</f>
        <v>11579</v>
      </c>
      <c r="I255" s="10">
        <f t="shared" si="25"/>
        <v>4.5671834791903539E-3</v>
      </c>
      <c r="J255" s="10">
        <f t="shared" si="21"/>
        <v>1.6997386038318713E-2</v>
      </c>
      <c r="K255" s="10">
        <f t="shared" si="22"/>
        <v>-1.0680706011275383E-2</v>
      </c>
      <c r="L255" s="10">
        <f t="shared" si="23"/>
        <v>-1.3650537320528697E-3</v>
      </c>
      <c r="M255" s="10">
        <f t="shared" si="24"/>
        <v>1.129072268846079E-2</v>
      </c>
      <c r="N255" s="10">
        <f t="shared" si="26"/>
        <v>4.1619064925283202E-3</v>
      </c>
      <c r="P255" s="28">
        <f t="shared" si="27"/>
        <v>2080.95324626416</v>
      </c>
    </row>
    <row r="256" spans="1:16" ht="15" x14ac:dyDescent="0.2">
      <c r="A256" s="4">
        <v>241</v>
      </c>
      <c r="B256" s="62">
        <v>45831</v>
      </c>
      <c r="C256" s="9">
        <f>$E$5*(1+'Nestlé India Limited'!B307/100)</f>
        <v>1764.8875238890084</v>
      </c>
      <c r="D256" s="9">
        <f>$E$6*(1+'Pidilite Industries Limited'!B307/100)</f>
        <v>2951.7</v>
      </c>
      <c r="E256" s="9">
        <f>$E$7*(1+'Divi''s Laboratories Limited'!B307/100)</f>
        <v>6636</v>
      </c>
      <c r="F256" s="9">
        <f>$E$8*(1+'Bosch Limited'!B307/100)</f>
        <v>31565.309415503536</v>
      </c>
      <c r="G256" s="9">
        <f>$E$9*(1+'UltraTech Cement Limited'!B307/100)</f>
        <v>11449</v>
      </c>
      <c r="I256" s="10">
        <f t="shared" si="25"/>
        <v>-2.2650545781962954E-3</v>
      </c>
      <c r="J256" s="10">
        <f t="shared" si="21"/>
        <v>-1.4895564553817789E-3</v>
      </c>
      <c r="K256" s="10">
        <f t="shared" si="22"/>
        <v>6.6525797210273963E-3</v>
      </c>
      <c r="L256" s="10">
        <f t="shared" si="23"/>
        <v>-2.3095591808828503E-2</v>
      </c>
      <c r="M256" s="10">
        <f t="shared" si="24"/>
        <v>-7.8578604471071301E-4</v>
      </c>
      <c r="N256" s="10">
        <f t="shared" si="26"/>
        <v>-4.1966818332179797E-3</v>
      </c>
      <c r="P256" s="28">
        <f t="shared" si="27"/>
        <v>-2098.34091660899</v>
      </c>
    </row>
    <row r="257" spans="1:16" ht="15" x14ac:dyDescent="0.2">
      <c r="A257" s="4">
        <v>242</v>
      </c>
      <c r="B257" s="62">
        <v>45828</v>
      </c>
      <c r="C257" s="9">
        <f>$E$5*(1+'Nestlé India Limited'!B308/100)</f>
        <v>1768.8896212283912</v>
      </c>
      <c r="D257" s="9">
        <f>$E$6*(1+'Pidilite Industries Limited'!B308/100)</f>
        <v>2956.1</v>
      </c>
      <c r="E257" s="9">
        <f>$E$7*(1+'Divi''s Laboratories Limited'!B308/100)</f>
        <v>6592</v>
      </c>
      <c r="F257" s="9">
        <f>$E$8*(1+'Bosch Limited'!B308/100)</f>
        <v>32302.812672049553</v>
      </c>
      <c r="G257" s="9">
        <f>$E$9*(1+'UltraTech Cement Limited'!B308/100)</f>
        <v>11458</v>
      </c>
      <c r="I257" s="10">
        <f t="shared" si="25"/>
        <v>1.9493961175332381E-2</v>
      </c>
      <c r="J257" s="10">
        <f t="shared" si="21"/>
        <v>-3.7816164186936924E-3</v>
      </c>
      <c r="K257" s="10">
        <f t="shared" si="22"/>
        <v>1.5132119080820936E-2</v>
      </c>
      <c r="L257" s="10">
        <f t="shared" si="23"/>
        <v>-2.3612725343246997E-3</v>
      </c>
      <c r="M257" s="10">
        <f t="shared" si="24"/>
        <v>3.3219717585218091E-3</v>
      </c>
      <c r="N257" s="10">
        <f t="shared" si="26"/>
        <v>6.3610326123313479E-3</v>
      </c>
      <c r="P257" s="28">
        <f t="shared" si="27"/>
        <v>3180.516306165674</v>
      </c>
    </row>
    <row r="258" spans="1:16" ht="15" x14ac:dyDescent="0.2">
      <c r="A258" s="4">
        <v>243</v>
      </c>
      <c r="B258" s="62">
        <v>45827</v>
      </c>
      <c r="C258" s="9">
        <f>$E$5*(1+'Nestlé India Limited'!B309/100)</f>
        <v>1734.7408841175816</v>
      </c>
      <c r="D258" s="9">
        <f>$E$6*(1+'Pidilite Industries Limited'!B309/100)</f>
        <v>2967.3</v>
      </c>
      <c r="E258" s="9">
        <f>$E$7*(1+'Divi''s Laboratories Limited'!B309/100)</f>
        <v>6493</v>
      </c>
      <c r="F258" s="9">
        <f>$E$8*(1+'Bosch Limited'!B309/100)</f>
        <v>32379.178541226047</v>
      </c>
      <c r="G258" s="9">
        <f>$E$9*(1+'UltraTech Cement Limited'!B309/100)</f>
        <v>11420</v>
      </c>
      <c r="I258" s="10">
        <f t="shared" si="25"/>
        <v>-8.5874293286472437E-3</v>
      </c>
      <c r="J258" s="10">
        <f t="shared" si="21"/>
        <v>-3.032600478130457E-4</v>
      </c>
      <c r="K258" s="10">
        <f t="shared" si="22"/>
        <v>-8.5876927095668333E-3</v>
      </c>
      <c r="L258" s="10">
        <f t="shared" si="23"/>
        <v>-3.5054531774847045E-4</v>
      </c>
      <c r="M258" s="10">
        <f t="shared" si="24"/>
        <v>1.2266714935171531E-3</v>
      </c>
      <c r="N258" s="10">
        <f t="shared" si="26"/>
        <v>-3.3204511820516883E-3</v>
      </c>
      <c r="P258" s="28">
        <f t="shared" si="27"/>
        <v>-1660.2255910258441</v>
      </c>
    </row>
    <row r="259" spans="1:16" ht="15" x14ac:dyDescent="0.2">
      <c r="A259" s="4">
        <v>244</v>
      </c>
      <c r="B259" s="62">
        <v>45826</v>
      </c>
      <c r="C259" s="9">
        <f>$E$5*(1+'Nestlé India Limited'!B310/100)</f>
        <v>1749.7019956666766</v>
      </c>
      <c r="D259" s="9">
        <f>$E$6*(1+'Pidilite Industries Limited'!B310/100)</f>
        <v>2968.2</v>
      </c>
      <c r="E259" s="9">
        <f>$E$7*(1+'Divi''s Laboratories Limited'!B310/100)</f>
        <v>6549</v>
      </c>
      <c r="F259" s="9">
        <f>$E$8*(1+'Bosch Limited'!B310/100)</f>
        <v>32390.530900298123</v>
      </c>
      <c r="G259" s="9">
        <f>$E$9*(1+'UltraTech Cement Limited'!B310/100)</f>
        <v>11406</v>
      </c>
      <c r="I259" s="10">
        <f t="shared" si="25"/>
        <v>-9.5735227519927538E-3</v>
      </c>
      <c r="J259" s="10">
        <f t="shared" si="21"/>
        <v>-1.6738050504396969E-2</v>
      </c>
      <c r="K259" s="10">
        <f t="shared" si="22"/>
        <v>1.6810579338977047E-3</v>
      </c>
      <c r="L259" s="10">
        <f t="shared" si="23"/>
        <v>5.2183548360263373E-3</v>
      </c>
      <c r="M259" s="10">
        <f t="shared" si="24"/>
        <v>2.0185183912674867E-3</v>
      </c>
      <c r="N259" s="10">
        <f t="shared" si="26"/>
        <v>-3.4787284190396397E-3</v>
      </c>
      <c r="P259" s="28">
        <f t="shared" si="27"/>
        <v>-1739.36420951982</v>
      </c>
    </row>
    <row r="260" spans="1:16" ht="15" x14ac:dyDescent="0.2">
      <c r="A260" s="4">
        <v>245</v>
      </c>
      <c r="B260" s="62">
        <v>45825</v>
      </c>
      <c r="C260" s="9">
        <f>$E$5*(1+'Nestlé India Limited'!B311/100)</f>
        <v>1766.5332461594085</v>
      </c>
      <c r="D260" s="9">
        <f>$E$6*(1+'Pidilite Industries Limited'!B311/100)</f>
        <v>3018.3</v>
      </c>
      <c r="E260" s="9">
        <f>$E$7*(1+'Divi''s Laboratories Limited'!B311/100)</f>
        <v>6538</v>
      </c>
      <c r="F260" s="9">
        <f>$E$8*(1+'Bosch Limited'!B311/100)</f>
        <v>32221.945867558137</v>
      </c>
      <c r="G260" s="9">
        <f>$E$9*(1+'UltraTech Cement Limited'!B311/100)</f>
        <v>11383</v>
      </c>
      <c r="I260" s="10">
        <f t="shared" si="25"/>
        <v>-1.1766203583430926E-2</v>
      </c>
      <c r="J260" s="10">
        <f t="shared" si="21"/>
        <v>6.4815503372076394E-3</v>
      </c>
      <c r="K260" s="10">
        <f t="shared" si="22"/>
        <v>-2.260880392010604E-2</v>
      </c>
      <c r="L260" s="10">
        <f t="shared" si="23"/>
        <v>-1.9846660105114601E-3</v>
      </c>
      <c r="M260" s="10">
        <f t="shared" si="24"/>
        <v>-9.7911438720652659E-3</v>
      </c>
      <c r="N260" s="10">
        <f t="shared" si="26"/>
        <v>-7.9338534097812101E-3</v>
      </c>
      <c r="P260" s="28">
        <f t="shared" si="27"/>
        <v>-3966.9267048906049</v>
      </c>
    </row>
    <row r="261" spans="1:16" ht="15" x14ac:dyDescent="0.2">
      <c r="A261" s="33">
        <v>246</v>
      </c>
      <c r="B261" s="62">
        <v>45824</v>
      </c>
      <c r="C261" s="67">
        <f>$E$5*(1+'Nestlé India Limited'!B312/100)</f>
        <v>1787.4413995492691</v>
      </c>
      <c r="D261" s="67">
        <f>$E$6*(1+'Pidilite Industries Limited'!B312/100)</f>
        <v>2998.8</v>
      </c>
      <c r="E261" s="67">
        <f>$E$7*(1+'Divi''s Laboratories Limited'!B312/100)</f>
        <v>6687.5</v>
      </c>
      <c r="F261" s="67">
        <f>$E$8*(1+'Bosch Limited'!B312/100)</f>
        <v>32285.959169814796</v>
      </c>
      <c r="G261" s="67">
        <f>$E$9*(1+'UltraTech Cement Limited'!B312/100)</f>
        <v>11495</v>
      </c>
      <c r="I261" s="10">
        <f t="shared" si="25"/>
        <v>5.4343968655384736E-3</v>
      </c>
      <c r="J261" s="10">
        <f t="shared" si="21"/>
        <v>-4.5580901700033264E-3</v>
      </c>
      <c r="K261" s="10">
        <f t="shared" si="22"/>
        <v>3.0701285862019113E-3</v>
      </c>
      <c r="L261" s="10">
        <f t="shared" si="23"/>
        <v>2.1167809761990487E-2</v>
      </c>
      <c r="M261" s="10">
        <f t="shared" si="24"/>
        <v>2.3857815414985131E-2</v>
      </c>
      <c r="N261" s="10">
        <f t="shared" si="26"/>
        <v>9.794412091742536E-3</v>
      </c>
      <c r="P261" s="8">
        <f t="shared" si="27"/>
        <v>4897.2060458712676</v>
      </c>
    </row>
    <row r="262" spans="1:16" ht="15" x14ac:dyDescent="0.2">
      <c r="A262" s="4">
        <v>247</v>
      </c>
      <c r="B262" s="74">
        <v>45821</v>
      </c>
      <c r="C262" s="9">
        <f>$E$5*(1+'Nestlé India Limited'!B313/100)</f>
        <v>1777.7540798212301</v>
      </c>
      <c r="D262" s="9">
        <f>$E$6*(1+'Pidilite Industries Limited'!B313/100)</f>
        <v>3012.5</v>
      </c>
      <c r="E262" s="9">
        <f>$E$7*(1+'Divi''s Laboratories Limited'!B313/100)</f>
        <v>6667</v>
      </c>
      <c r="F262" s="9">
        <f>$E$8*(1+'Bosch Limited'!B313/100)</f>
        <v>31609.718643944096</v>
      </c>
      <c r="G262" s="9">
        <f>$E$9*(1+'UltraTech Cement Limited'!B313/100)</f>
        <v>11224</v>
      </c>
      <c r="I262" s="70"/>
      <c r="J262" s="70"/>
      <c r="K262" s="70"/>
      <c r="L262" s="70"/>
      <c r="M262" s="70"/>
      <c r="N262" s="70"/>
      <c r="P262" s="71"/>
    </row>
    <row r="263" spans="1:16" x14ac:dyDescent="0.2">
      <c r="B263" s="68"/>
      <c r="C263" s="69"/>
      <c r="D263" s="69"/>
      <c r="E263" s="69"/>
      <c r="F263" s="69"/>
      <c r="G263" s="69"/>
      <c r="I263" s="70"/>
      <c r="J263" s="70"/>
      <c r="K263" s="70"/>
      <c r="L263" s="70"/>
      <c r="M263" s="70"/>
      <c r="N263" s="70"/>
      <c r="P263" s="71"/>
    </row>
    <row r="264" spans="1:16" x14ac:dyDescent="0.2">
      <c r="B264" s="68"/>
      <c r="C264" s="69"/>
      <c r="D264" s="69"/>
      <c r="E264" s="69"/>
      <c r="F264" s="69"/>
      <c r="G264" s="69"/>
      <c r="I264" s="70"/>
      <c r="J264" s="70"/>
      <c r="K264" s="70"/>
      <c r="L264" s="70"/>
      <c r="M264" s="70"/>
      <c r="N264" s="70"/>
      <c r="P264" s="71"/>
    </row>
    <row r="265" spans="1:16" x14ac:dyDescent="0.2">
      <c r="B265" s="68"/>
      <c r="C265" s="69"/>
      <c r="D265" s="69"/>
      <c r="E265" s="69"/>
      <c r="F265" s="69"/>
      <c r="G265" s="69"/>
      <c r="I265" s="70"/>
      <c r="J265" s="70"/>
      <c r="K265" s="70"/>
      <c r="L265" s="70"/>
      <c r="M265" s="70"/>
      <c r="N265" s="70"/>
      <c r="P265" s="71"/>
    </row>
    <row r="266" spans="1:16" x14ac:dyDescent="0.2">
      <c r="B266" s="68"/>
      <c r="C266" s="69"/>
      <c r="D266" s="69"/>
      <c r="E266" s="69"/>
      <c r="F266" s="69"/>
      <c r="G266" s="69"/>
      <c r="I266" s="70"/>
      <c r="J266" s="70"/>
      <c r="K266" s="70"/>
      <c r="L266" s="70"/>
      <c r="M266" s="70"/>
      <c r="N266" s="70"/>
      <c r="P266" s="71"/>
    </row>
    <row r="267" spans="1:16" x14ac:dyDescent="0.2">
      <c r="B267" s="68"/>
      <c r="C267" s="69"/>
      <c r="D267" s="69"/>
      <c r="E267" s="69"/>
      <c r="F267" s="69"/>
      <c r="G267" s="69"/>
      <c r="I267" s="70"/>
      <c r="J267" s="70"/>
      <c r="K267" s="70"/>
      <c r="L267" s="70"/>
      <c r="M267" s="70"/>
      <c r="N267" s="70"/>
      <c r="P267" s="71"/>
    </row>
    <row r="268" spans="1:16" x14ac:dyDescent="0.2">
      <c r="B268" s="68"/>
      <c r="C268" s="69"/>
      <c r="D268" s="69"/>
      <c r="E268" s="69"/>
      <c r="F268" s="69"/>
      <c r="G268" s="69"/>
      <c r="I268" s="70"/>
      <c r="J268" s="70"/>
      <c r="K268" s="70"/>
      <c r="L268" s="70"/>
      <c r="M268" s="70"/>
      <c r="N268" s="70"/>
      <c r="P268" s="71"/>
    </row>
    <row r="269" spans="1:16" x14ac:dyDescent="0.2">
      <c r="B269" s="68"/>
      <c r="C269" s="69"/>
      <c r="D269" s="69"/>
      <c r="E269" s="69"/>
      <c r="F269" s="69"/>
      <c r="G269" s="69"/>
      <c r="I269" s="70"/>
      <c r="J269" s="70"/>
      <c r="K269" s="70"/>
      <c r="L269" s="70"/>
      <c r="M269" s="70"/>
      <c r="N269" s="70"/>
      <c r="P269" s="71"/>
    </row>
    <row r="270" spans="1:16" x14ac:dyDescent="0.2">
      <c r="B270" s="68"/>
      <c r="C270" s="69"/>
      <c r="D270" s="69"/>
      <c r="E270" s="69"/>
      <c r="F270" s="69"/>
      <c r="G270" s="69"/>
      <c r="I270" s="70"/>
      <c r="J270" s="70"/>
      <c r="K270" s="70"/>
      <c r="L270" s="70"/>
      <c r="M270" s="70"/>
      <c r="N270" s="70"/>
      <c r="P270" s="71"/>
    </row>
    <row r="271" spans="1:16" x14ac:dyDescent="0.2">
      <c r="B271" s="68"/>
      <c r="C271" s="69"/>
      <c r="D271" s="69"/>
      <c r="E271" s="69"/>
      <c r="F271" s="69"/>
      <c r="G271" s="69"/>
      <c r="I271" s="70"/>
      <c r="J271" s="70"/>
      <c r="K271" s="70"/>
      <c r="L271" s="70"/>
      <c r="M271" s="70"/>
      <c r="N271" s="70"/>
      <c r="P271" s="71"/>
    </row>
    <row r="272" spans="1:16" x14ac:dyDescent="0.2">
      <c r="B272" s="68"/>
      <c r="C272" s="69"/>
      <c r="D272" s="69"/>
      <c r="E272" s="69"/>
      <c r="F272" s="69"/>
      <c r="G272" s="69"/>
      <c r="I272" s="70"/>
      <c r="J272" s="70"/>
      <c r="K272" s="70"/>
      <c r="L272" s="70"/>
      <c r="M272" s="70"/>
      <c r="N272" s="70"/>
      <c r="P272" s="71"/>
    </row>
    <row r="273" spans="2:16" x14ac:dyDescent="0.2">
      <c r="B273" s="68"/>
      <c r="C273" s="69"/>
      <c r="D273" s="69"/>
      <c r="E273" s="69"/>
      <c r="F273" s="69"/>
      <c r="G273" s="69"/>
      <c r="I273" s="70"/>
      <c r="J273" s="70"/>
      <c r="K273" s="70"/>
      <c r="L273" s="70"/>
      <c r="M273" s="70"/>
      <c r="N273" s="70"/>
      <c r="P273" s="71"/>
    </row>
    <row r="274" spans="2:16" x14ac:dyDescent="0.2">
      <c r="B274" s="68"/>
      <c r="C274" s="69"/>
      <c r="D274" s="69"/>
      <c r="E274" s="69"/>
      <c r="F274" s="69"/>
      <c r="G274" s="69"/>
      <c r="I274" s="70"/>
      <c r="J274" s="70"/>
      <c r="K274" s="70"/>
      <c r="L274" s="70"/>
      <c r="M274" s="70"/>
      <c r="N274" s="70"/>
      <c r="P274" s="71"/>
    </row>
    <row r="275" spans="2:16" x14ac:dyDescent="0.2">
      <c r="B275" s="68"/>
      <c r="C275" s="69"/>
      <c r="D275" s="69"/>
      <c r="E275" s="69"/>
      <c r="F275" s="69"/>
      <c r="G275" s="69"/>
      <c r="I275" s="70"/>
      <c r="J275" s="70"/>
      <c r="K275" s="70"/>
      <c r="L275" s="70"/>
      <c r="M275" s="70"/>
      <c r="N275" s="70"/>
      <c r="P275" s="71"/>
    </row>
    <row r="276" spans="2:16" x14ac:dyDescent="0.2">
      <c r="B276" s="68"/>
      <c r="C276" s="69"/>
      <c r="D276" s="69"/>
      <c r="E276" s="69"/>
      <c r="F276" s="69"/>
      <c r="G276" s="69"/>
      <c r="I276" s="70"/>
      <c r="J276" s="70"/>
      <c r="K276" s="70"/>
      <c r="L276" s="70"/>
      <c r="M276" s="70"/>
      <c r="N276" s="70"/>
      <c r="P276" s="71"/>
    </row>
    <row r="277" spans="2:16" x14ac:dyDescent="0.2">
      <c r="B277" s="68"/>
      <c r="C277" s="69"/>
      <c r="D277" s="69"/>
      <c r="E277" s="69"/>
      <c r="F277" s="69"/>
      <c r="G277" s="69"/>
      <c r="I277" s="70"/>
      <c r="J277" s="70"/>
      <c r="K277" s="70"/>
      <c r="L277" s="70"/>
      <c r="M277" s="70"/>
      <c r="N277" s="70"/>
      <c r="P277" s="71"/>
    </row>
    <row r="278" spans="2:16" x14ac:dyDescent="0.2">
      <c r="B278" s="68"/>
      <c r="C278" s="69"/>
      <c r="D278" s="69"/>
      <c r="E278" s="69"/>
      <c r="F278" s="69"/>
      <c r="G278" s="69"/>
      <c r="I278" s="70"/>
      <c r="J278" s="70"/>
      <c r="K278" s="70"/>
      <c r="L278" s="70"/>
      <c r="M278" s="70"/>
      <c r="N278" s="70"/>
      <c r="P278" s="71"/>
    </row>
    <row r="279" spans="2:16" x14ac:dyDescent="0.2">
      <c r="B279" s="68"/>
      <c r="C279" s="69"/>
      <c r="D279" s="69"/>
      <c r="E279" s="69"/>
      <c r="F279" s="69"/>
      <c r="G279" s="69"/>
      <c r="I279" s="70"/>
      <c r="J279" s="70"/>
      <c r="K279" s="70"/>
      <c r="L279" s="70"/>
      <c r="M279" s="70"/>
      <c r="N279" s="70"/>
      <c r="P279" s="71"/>
    </row>
    <row r="280" spans="2:16" x14ac:dyDescent="0.2">
      <c r="B280" s="68"/>
      <c r="C280" s="69"/>
      <c r="D280" s="69"/>
      <c r="E280" s="69"/>
      <c r="F280" s="69"/>
      <c r="G280" s="69"/>
      <c r="I280" s="70"/>
      <c r="J280" s="70"/>
      <c r="K280" s="70"/>
      <c r="L280" s="70"/>
      <c r="M280" s="70"/>
      <c r="N280" s="70"/>
      <c r="P280" s="71"/>
    </row>
    <row r="281" spans="2:16" x14ac:dyDescent="0.2">
      <c r="B281" s="68"/>
      <c r="C281" s="69"/>
      <c r="D281" s="69"/>
      <c r="E281" s="69"/>
      <c r="F281" s="69"/>
      <c r="G281" s="69"/>
      <c r="I281" s="70"/>
      <c r="J281" s="70"/>
      <c r="K281" s="70"/>
      <c r="L281" s="70"/>
      <c r="M281" s="70"/>
      <c r="N281" s="70"/>
      <c r="P281" s="71"/>
    </row>
    <row r="282" spans="2:16" x14ac:dyDescent="0.2">
      <c r="B282" s="68"/>
      <c r="C282" s="69"/>
      <c r="D282" s="69"/>
      <c r="E282" s="69"/>
      <c r="F282" s="69"/>
      <c r="G282" s="69"/>
      <c r="I282" s="70"/>
      <c r="J282" s="70"/>
      <c r="K282" s="70"/>
      <c r="L282" s="70"/>
      <c r="M282" s="70"/>
      <c r="N282" s="70"/>
      <c r="P282" s="71"/>
    </row>
    <row r="283" spans="2:16" x14ac:dyDescent="0.2">
      <c r="B283" s="68"/>
      <c r="C283" s="69"/>
      <c r="D283" s="69"/>
      <c r="E283" s="69"/>
      <c r="F283" s="69"/>
      <c r="G283" s="69"/>
      <c r="I283" s="70"/>
      <c r="J283" s="70"/>
      <c r="K283" s="70"/>
      <c r="L283" s="70"/>
      <c r="M283" s="70"/>
      <c r="N283" s="70"/>
      <c r="P283" s="71"/>
    </row>
    <row r="284" spans="2:16" x14ac:dyDescent="0.2">
      <c r="B284" s="68"/>
      <c r="C284" s="69"/>
      <c r="D284" s="69"/>
      <c r="E284" s="69"/>
      <c r="F284" s="69"/>
      <c r="G284" s="69"/>
      <c r="I284" s="70"/>
      <c r="J284" s="70"/>
      <c r="K284" s="70"/>
      <c r="L284" s="70"/>
      <c r="M284" s="70"/>
      <c r="N284" s="70"/>
      <c r="P284" s="71"/>
    </row>
    <row r="285" spans="2:16" x14ac:dyDescent="0.2">
      <c r="B285" s="68"/>
      <c r="C285" s="69"/>
      <c r="D285" s="69"/>
      <c r="E285" s="69"/>
      <c r="F285" s="69"/>
      <c r="G285" s="69"/>
      <c r="I285" s="70"/>
      <c r="J285" s="70"/>
      <c r="K285" s="70"/>
      <c r="L285" s="70"/>
      <c r="M285" s="70"/>
      <c r="N285" s="70"/>
      <c r="P285" s="71"/>
    </row>
    <row r="286" spans="2:16" x14ac:dyDescent="0.2">
      <c r="B286" s="68"/>
      <c r="C286" s="69"/>
      <c r="D286" s="69"/>
      <c r="E286" s="69"/>
      <c r="F286" s="69"/>
      <c r="G286" s="69"/>
      <c r="I286" s="70"/>
      <c r="J286" s="70"/>
      <c r="K286" s="70"/>
      <c r="L286" s="70"/>
      <c r="M286" s="70"/>
      <c r="N286" s="70"/>
      <c r="P286" s="71"/>
    </row>
    <row r="287" spans="2:16" x14ac:dyDescent="0.2">
      <c r="B287" s="68"/>
      <c r="C287" s="69"/>
      <c r="D287" s="69"/>
      <c r="E287" s="69"/>
      <c r="F287" s="69"/>
      <c r="G287" s="69"/>
      <c r="I287" s="70"/>
      <c r="J287" s="70"/>
      <c r="K287" s="70"/>
      <c r="L287" s="70"/>
      <c r="M287" s="70"/>
      <c r="N287" s="70"/>
      <c r="P287" s="71"/>
    </row>
    <row r="288" spans="2:16" x14ac:dyDescent="0.2">
      <c r="B288" s="68"/>
      <c r="C288" s="69"/>
      <c r="D288" s="69"/>
      <c r="E288" s="69"/>
      <c r="F288" s="69"/>
      <c r="G288" s="69"/>
      <c r="I288" s="70"/>
      <c r="J288" s="70"/>
      <c r="K288" s="70"/>
      <c r="L288" s="70"/>
      <c r="M288" s="70"/>
      <c r="N288" s="70"/>
      <c r="P288" s="71"/>
    </row>
    <row r="289" spans="2:16" x14ac:dyDescent="0.2">
      <c r="B289" s="68"/>
      <c r="C289" s="69"/>
      <c r="D289" s="69"/>
      <c r="E289" s="69"/>
      <c r="F289" s="69"/>
      <c r="G289" s="69"/>
      <c r="I289" s="70"/>
      <c r="J289" s="70"/>
      <c r="K289" s="70"/>
      <c r="L289" s="70"/>
      <c r="M289" s="70"/>
      <c r="N289" s="70"/>
      <c r="P289" s="71"/>
    </row>
    <row r="290" spans="2:16" x14ac:dyDescent="0.2">
      <c r="B290" s="68"/>
      <c r="C290" s="69"/>
      <c r="D290" s="69"/>
      <c r="E290" s="69"/>
      <c r="F290" s="69"/>
      <c r="G290" s="69"/>
      <c r="I290" s="70"/>
      <c r="J290" s="70"/>
      <c r="K290" s="70"/>
      <c r="L290" s="70"/>
      <c r="M290" s="70"/>
      <c r="N290" s="70"/>
      <c r="P290" s="71"/>
    </row>
    <row r="291" spans="2:16" x14ac:dyDescent="0.2">
      <c r="B291" s="68"/>
      <c r="C291" s="69"/>
      <c r="D291" s="69"/>
      <c r="E291" s="69"/>
      <c r="F291" s="69"/>
      <c r="G291" s="69"/>
      <c r="I291" s="70"/>
      <c r="J291" s="70"/>
      <c r="K291" s="70"/>
      <c r="L291" s="70"/>
      <c r="M291" s="70"/>
      <c r="N291" s="70"/>
      <c r="P291" s="71"/>
    </row>
    <row r="292" spans="2:16" x14ac:dyDescent="0.2">
      <c r="B292" s="68"/>
      <c r="C292" s="69"/>
      <c r="D292" s="69"/>
      <c r="E292" s="69"/>
      <c r="F292" s="69"/>
      <c r="G292" s="69"/>
      <c r="I292" s="70"/>
      <c r="J292" s="70"/>
      <c r="K292" s="70"/>
      <c r="L292" s="70"/>
      <c r="M292" s="70"/>
      <c r="N292" s="70"/>
      <c r="P292" s="71"/>
    </row>
    <row r="293" spans="2:16" x14ac:dyDescent="0.2">
      <c r="B293" s="68"/>
      <c r="C293" s="69"/>
      <c r="D293" s="69"/>
      <c r="E293" s="69"/>
      <c r="F293" s="69"/>
      <c r="G293" s="69"/>
      <c r="I293" s="70"/>
      <c r="J293" s="70"/>
      <c r="K293" s="70"/>
      <c r="L293" s="70"/>
      <c r="M293" s="70"/>
      <c r="N293" s="70"/>
      <c r="P293" s="71"/>
    </row>
    <row r="294" spans="2:16" x14ac:dyDescent="0.2">
      <c r="B294" s="68"/>
      <c r="C294" s="69"/>
      <c r="D294" s="69"/>
      <c r="E294" s="69"/>
      <c r="F294" s="69"/>
      <c r="G294" s="69"/>
      <c r="I294" s="70"/>
      <c r="J294" s="70"/>
      <c r="K294" s="70"/>
      <c r="L294" s="70"/>
      <c r="M294" s="70"/>
      <c r="N294" s="70"/>
      <c r="P294" s="71"/>
    </row>
    <row r="295" spans="2:16" x14ac:dyDescent="0.2">
      <c r="B295" s="68"/>
      <c r="C295" s="69"/>
      <c r="D295" s="69"/>
      <c r="E295" s="69"/>
      <c r="F295" s="69"/>
      <c r="G295" s="69"/>
      <c r="I295" s="70"/>
      <c r="J295" s="70"/>
      <c r="K295" s="70"/>
      <c r="L295" s="70"/>
      <c r="M295" s="70"/>
      <c r="N295" s="70"/>
      <c r="P295" s="71"/>
    </row>
    <row r="296" spans="2:16" x14ac:dyDescent="0.2">
      <c r="B296" s="68"/>
      <c r="C296" s="69"/>
      <c r="D296" s="69"/>
      <c r="E296" s="69"/>
      <c r="F296" s="69"/>
      <c r="G296" s="69"/>
      <c r="I296" s="70"/>
      <c r="J296" s="70"/>
      <c r="K296" s="70"/>
      <c r="L296" s="70"/>
      <c r="M296" s="70"/>
      <c r="N296" s="70"/>
      <c r="P296" s="71"/>
    </row>
    <row r="297" spans="2:16" x14ac:dyDescent="0.2">
      <c r="B297" s="68"/>
      <c r="C297" s="69"/>
      <c r="D297" s="69"/>
      <c r="E297" s="69"/>
      <c r="F297" s="69"/>
      <c r="G297" s="69"/>
      <c r="I297" s="70"/>
      <c r="J297" s="70"/>
      <c r="K297" s="70"/>
      <c r="L297" s="70"/>
      <c r="M297" s="70"/>
      <c r="N297" s="70"/>
      <c r="P297" s="71"/>
    </row>
    <row r="298" spans="2:16" x14ac:dyDescent="0.2">
      <c r="B298" s="68"/>
      <c r="C298" s="69"/>
      <c r="D298" s="69"/>
      <c r="E298" s="69"/>
      <c r="F298" s="69"/>
      <c r="G298" s="69"/>
      <c r="I298" s="70"/>
      <c r="J298" s="70"/>
      <c r="K298" s="70"/>
      <c r="L298" s="70"/>
      <c r="M298" s="70"/>
      <c r="N298" s="70"/>
      <c r="P298" s="71"/>
    </row>
    <row r="299" spans="2:16" x14ac:dyDescent="0.2">
      <c r="B299" s="68"/>
      <c r="C299" s="69"/>
      <c r="D299" s="69"/>
      <c r="E299" s="69"/>
      <c r="F299" s="69"/>
      <c r="G299" s="69"/>
      <c r="I299" s="70"/>
      <c r="J299" s="70"/>
      <c r="K299" s="70"/>
      <c r="L299" s="70"/>
      <c r="M299" s="70"/>
      <c r="N299" s="70"/>
      <c r="P299" s="71"/>
    </row>
    <row r="300" spans="2:16" x14ac:dyDescent="0.2">
      <c r="B300" s="68"/>
      <c r="C300" s="69"/>
      <c r="D300" s="69"/>
      <c r="E300" s="69"/>
      <c r="F300" s="69"/>
      <c r="G300" s="69"/>
      <c r="I300" s="70"/>
      <c r="J300" s="70"/>
      <c r="K300" s="70"/>
      <c r="L300" s="70"/>
      <c r="M300" s="70"/>
      <c r="N300" s="70"/>
      <c r="P300" s="71"/>
    </row>
    <row r="301" spans="2:16" x14ac:dyDescent="0.2">
      <c r="B301" s="68"/>
      <c r="C301" s="69"/>
      <c r="D301" s="69"/>
      <c r="E301" s="69"/>
      <c r="F301" s="69"/>
      <c r="G301" s="69"/>
      <c r="I301" s="70"/>
      <c r="J301" s="70"/>
      <c r="K301" s="70"/>
      <c r="L301" s="70"/>
      <c r="M301" s="70"/>
      <c r="N301" s="70"/>
      <c r="P301" s="71"/>
    </row>
    <row r="302" spans="2:16" x14ac:dyDescent="0.2">
      <c r="B302" s="68"/>
      <c r="C302" s="69"/>
      <c r="D302" s="69"/>
      <c r="E302" s="69"/>
      <c r="F302" s="69"/>
      <c r="G302" s="69"/>
      <c r="I302" s="70"/>
      <c r="J302" s="70"/>
      <c r="K302" s="70"/>
      <c r="L302" s="70"/>
      <c r="M302" s="70"/>
      <c r="N302" s="70"/>
      <c r="P302" s="71"/>
    </row>
    <row r="303" spans="2:16" x14ac:dyDescent="0.2">
      <c r="B303" s="68"/>
      <c r="C303" s="69"/>
      <c r="D303" s="69"/>
      <c r="E303" s="69"/>
      <c r="F303" s="69"/>
      <c r="G303" s="69"/>
      <c r="I303" s="70"/>
      <c r="J303" s="70"/>
      <c r="K303" s="70"/>
      <c r="L303" s="70"/>
      <c r="M303" s="70"/>
      <c r="N303" s="70"/>
      <c r="P303" s="71"/>
    </row>
    <row r="304" spans="2:16" x14ac:dyDescent="0.2">
      <c r="B304" s="68"/>
      <c r="C304" s="69"/>
      <c r="D304" s="69"/>
      <c r="E304" s="69"/>
      <c r="F304" s="69"/>
      <c r="G304" s="69"/>
      <c r="I304" s="70"/>
      <c r="J304" s="70"/>
      <c r="K304" s="70"/>
      <c r="L304" s="70"/>
      <c r="M304" s="70"/>
      <c r="N304" s="70"/>
      <c r="P304" s="71"/>
    </row>
    <row r="305" spans="2:16" x14ac:dyDescent="0.2">
      <c r="B305" s="68"/>
      <c r="C305" s="69"/>
      <c r="D305" s="69"/>
      <c r="E305" s="69"/>
      <c r="F305" s="69"/>
      <c r="G305" s="69"/>
      <c r="I305" s="70"/>
      <c r="J305" s="70"/>
      <c r="K305" s="70"/>
      <c r="L305" s="70"/>
      <c r="M305" s="70"/>
      <c r="N305" s="70"/>
      <c r="P305" s="71"/>
    </row>
    <row r="306" spans="2:16" x14ac:dyDescent="0.2">
      <c r="B306" s="68"/>
      <c r="C306" s="69"/>
      <c r="D306" s="69"/>
      <c r="E306" s="69"/>
      <c r="F306" s="69"/>
      <c r="G306" s="69"/>
      <c r="I306" s="70"/>
      <c r="J306" s="70"/>
      <c r="K306" s="70"/>
      <c r="L306" s="70"/>
      <c r="M306" s="70"/>
      <c r="N306" s="70"/>
      <c r="P306" s="71"/>
    </row>
    <row r="307" spans="2:16" x14ac:dyDescent="0.2">
      <c r="B307" s="68"/>
      <c r="C307" s="69"/>
      <c r="D307" s="69"/>
      <c r="E307" s="69"/>
      <c r="F307" s="69"/>
      <c r="G307" s="69"/>
      <c r="I307" s="70"/>
      <c r="J307" s="70"/>
      <c r="K307" s="70"/>
      <c r="L307" s="70"/>
      <c r="M307" s="70"/>
      <c r="N307" s="70"/>
      <c r="P307" s="71"/>
    </row>
    <row r="308" spans="2:16" x14ac:dyDescent="0.2">
      <c r="B308" s="68"/>
      <c r="C308" s="69"/>
      <c r="D308" s="69"/>
      <c r="E308" s="69"/>
      <c r="F308" s="69"/>
      <c r="G308" s="69"/>
      <c r="I308" s="70"/>
      <c r="J308" s="70"/>
      <c r="K308" s="70"/>
      <c r="L308" s="70"/>
      <c r="M308" s="70"/>
      <c r="N308" s="70"/>
      <c r="P308" s="71"/>
    </row>
    <row r="309" spans="2:16" x14ac:dyDescent="0.2">
      <c r="B309" s="68"/>
      <c r="C309" s="69"/>
      <c r="D309" s="69"/>
      <c r="E309" s="69"/>
      <c r="F309" s="69"/>
      <c r="G309" s="69"/>
      <c r="I309" s="70"/>
      <c r="J309" s="70"/>
      <c r="K309" s="70"/>
      <c r="L309" s="70"/>
      <c r="M309" s="70"/>
      <c r="N309" s="70"/>
      <c r="P309" s="71"/>
    </row>
    <row r="310" spans="2:16" x14ac:dyDescent="0.2">
      <c r="B310" s="68"/>
      <c r="C310" s="69"/>
      <c r="D310" s="69"/>
      <c r="E310" s="69"/>
      <c r="F310" s="69"/>
      <c r="G310" s="69"/>
      <c r="I310" s="70"/>
      <c r="J310" s="70"/>
      <c r="K310" s="70"/>
      <c r="L310" s="70"/>
      <c r="M310" s="70"/>
      <c r="N310" s="70"/>
      <c r="P310" s="71"/>
    </row>
    <row r="311" spans="2:16" x14ac:dyDescent="0.2">
      <c r="B311" s="68"/>
      <c r="C311" s="69"/>
      <c r="D311" s="69"/>
      <c r="E311" s="69"/>
      <c r="F311" s="69"/>
      <c r="G311" s="69"/>
      <c r="I311" s="70"/>
      <c r="J311" s="70"/>
      <c r="K311" s="70"/>
      <c r="L311" s="70"/>
      <c r="M311" s="70"/>
      <c r="N311" s="70"/>
      <c r="P311" s="71"/>
    </row>
    <row r="312" spans="2:16" x14ac:dyDescent="0.2">
      <c r="B312" s="68"/>
      <c r="C312" s="69"/>
      <c r="D312" s="69"/>
      <c r="E312" s="69"/>
      <c r="F312" s="69"/>
      <c r="G312" s="69"/>
      <c r="I312" s="70"/>
      <c r="J312" s="70"/>
      <c r="K312" s="70"/>
      <c r="L312" s="70"/>
      <c r="M312" s="70"/>
      <c r="N312" s="70"/>
      <c r="P312" s="71"/>
    </row>
    <row r="313" spans="2:16" x14ac:dyDescent="0.2">
      <c r="B313" s="68"/>
      <c r="C313" s="69"/>
      <c r="D313" s="69"/>
      <c r="E313" s="69"/>
      <c r="F313" s="69"/>
      <c r="G313" s="69"/>
      <c r="I313" s="70"/>
      <c r="J313" s="70"/>
      <c r="K313" s="70"/>
      <c r="L313" s="70"/>
      <c r="M313" s="70"/>
      <c r="N313" s="70"/>
      <c r="P313" s="71"/>
    </row>
    <row r="314" spans="2:16" x14ac:dyDescent="0.2">
      <c r="B314" s="68"/>
      <c r="C314" s="69"/>
      <c r="D314" s="69"/>
      <c r="E314" s="69"/>
      <c r="F314" s="69"/>
      <c r="G314" s="69"/>
      <c r="I314" s="70"/>
      <c r="J314" s="70"/>
      <c r="K314" s="70"/>
      <c r="L314" s="70"/>
      <c r="M314" s="70"/>
      <c r="N314" s="70"/>
      <c r="P314" s="71"/>
    </row>
    <row r="315" spans="2:16" x14ac:dyDescent="0.2">
      <c r="B315" s="68"/>
      <c r="C315" s="69"/>
      <c r="D315" s="69"/>
      <c r="E315" s="69"/>
      <c r="F315" s="69"/>
      <c r="G315" s="69"/>
      <c r="I315" s="70"/>
      <c r="J315" s="70"/>
      <c r="K315" s="70"/>
      <c r="L315" s="70"/>
      <c r="M315" s="70"/>
      <c r="N315" s="70"/>
      <c r="P315" s="71"/>
    </row>
    <row r="316" spans="2:16" x14ac:dyDescent="0.2">
      <c r="B316" s="68"/>
      <c r="C316" s="69"/>
      <c r="D316" s="69"/>
      <c r="E316" s="69"/>
      <c r="F316" s="69"/>
      <c r="G316" s="69"/>
      <c r="I316" s="70"/>
      <c r="J316" s="70"/>
      <c r="K316" s="70"/>
      <c r="L316" s="70"/>
      <c r="M316" s="70"/>
      <c r="N316" s="70"/>
      <c r="P316" s="71"/>
    </row>
    <row r="317" spans="2:16" x14ac:dyDescent="0.2">
      <c r="B317" s="68"/>
      <c r="C317" s="69"/>
      <c r="D317" s="69"/>
      <c r="E317" s="69"/>
      <c r="F317" s="69"/>
      <c r="G317" s="69"/>
      <c r="I317" s="70"/>
      <c r="J317" s="70"/>
      <c r="K317" s="70"/>
      <c r="L317" s="70"/>
      <c r="M317" s="70"/>
      <c r="N317" s="70"/>
      <c r="P317" s="71"/>
    </row>
    <row r="318" spans="2:16" x14ac:dyDescent="0.2">
      <c r="B318" s="68"/>
      <c r="C318" s="69"/>
      <c r="D318" s="69"/>
      <c r="E318" s="69"/>
      <c r="F318" s="69"/>
      <c r="G318" s="69"/>
      <c r="I318" s="70"/>
      <c r="J318" s="70"/>
      <c r="K318" s="70"/>
      <c r="L318" s="70"/>
      <c r="M318" s="70"/>
      <c r="N318" s="70"/>
      <c r="P318" s="71"/>
    </row>
    <row r="319" spans="2:16" x14ac:dyDescent="0.2">
      <c r="B319" s="68"/>
      <c r="C319" s="69"/>
      <c r="D319" s="69"/>
      <c r="E319" s="69"/>
      <c r="F319" s="69"/>
      <c r="G319" s="69"/>
      <c r="I319" s="70"/>
      <c r="J319" s="70"/>
      <c r="K319" s="70"/>
      <c r="L319" s="70"/>
      <c r="M319" s="70"/>
      <c r="N319" s="70"/>
      <c r="P319" s="71"/>
    </row>
    <row r="320" spans="2:16" x14ac:dyDescent="0.2">
      <c r="B320" s="68"/>
      <c r="C320" s="69"/>
      <c r="D320" s="69"/>
      <c r="E320" s="69"/>
      <c r="F320" s="69"/>
      <c r="G320" s="69"/>
      <c r="I320" s="70"/>
      <c r="J320" s="70"/>
      <c r="K320" s="70"/>
      <c r="L320" s="70"/>
      <c r="M320" s="70"/>
      <c r="N320" s="70"/>
      <c r="P320" s="71"/>
    </row>
    <row r="321" spans="2:16" x14ac:dyDescent="0.2">
      <c r="B321" s="68"/>
      <c r="C321" s="69"/>
      <c r="D321" s="69"/>
      <c r="E321" s="69"/>
      <c r="F321" s="69"/>
      <c r="G321" s="69"/>
      <c r="I321" s="70"/>
      <c r="J321" s="70"/>
      <c r="K321" s="70"/>
      <c r="L321" s="70"/>
      <c r="M321" s="70"/>
      <c r="N321" s="70"/>
      <c r="P321" s="71"/>
    </row>
    <row r="322" spans="2:16" x14ac:dyDescent="0.2">
      <c r="B322" s="68"/>
      <c r="C322" s="69"/>
      <c r="D322" s="69"/>
      <c r="E322" s="69"/>
      <c r="F322" s="69"/>
      <c r="G322" s="69"/>
      <c r="I322" s="70"/>
      <c r="J322" s="70"/>
      <c r="K322" s="70"/>
      <c r="L322" s="70"/>
      <c r="M322" s="70"/>
      <c r="N322" s="70"/>
      <c r="P322" s="71"/>
    </row>
    <row r="323" spans="2:16" x14ac:dyDescent="0.2">
      <c r="B323" s="68"/>
      <c r="C323" s="69"/>
      <c r="D323" s="69"/>
      <c r="E323" s="69"/>
      <c r="F323" s="69"/>
      <c r="G323" s="69"/>
      <c r="I323" s="70"/>
      <c r="J323" s="70"/>
      <c r="K323" s="70"/>
      <c r="L323" s="70"/>
      <c r="M323" s="70"/>
      <c r="N323" s="70"/>
      <c r="P323" s="71"/>
    </row>
    <row r="324" spans="2:16" x14ac:dyDescent="0.2">
      <c r="B324" s="68"/>
      <c r="C324" s="69"/>
      <c r="D324" s="69"/>
      <c r="E324" s="69"/>
      <c r="F324" s="69"/>
      <c r="G324" s="69"/>
      <c r="I324" s="70"/>
      <c r="J324" s="70"/>
      <c r="K324" s="70"/>
      <c r="L324" s="70"/>
      <c r="M324" s="70"/>
      <c r="N324" s="70"/>
      <c r="P324" s="71"/>
    </row>
    <row r="325" spans="2:16" x14ac:dyDescent="0.2">
      <c r="B325" s="68"/>
      <c r="C325" s="69"/>
      <c r="D325" s="69"/>
      <c r="E325" s="69"/>
      <c r="F325" s="69"/>
      <c r="G325" s="69"/>
      <c r="I325" s="70"/>
      <c r="J325" s="70"/>
      <c r="K325" s="70"/>
      <c r="L325" s="70"/>
      <c r="M325" s="70"/>
      <c r="N325" s="70"/>
      <c r="P325" s="71"/>
    </row>
    <row r="326" spans="2:16" x14ac:dyDescent="0.2">
      <c r="B326" s="68"/>
      <c r="C326" s="69"/>
      <c r="D326" s="69"/>
      <c r="E326" s="69"/>
      <c r="F326" s="69"/>
      <c r="G326" s="69"/>
      <c r="I326" s="70"/>
      <c r="J326" s="70"/>
      <c r="K326" s="70"/>
      <c r="L326" s="70"/>
      <c r="M326" s="70"/>
      <c r="N326" s="70"/>
      <c r="P326" s="71"/>
    </row>
    <row r="327" spans="2:16" x14ac:dyDescent="0.2">
      <c r="B327" s="68"/>
      <c r="C327" s="69"/>
      <c r="D327" s="69"/>
      <c r="E327" s="69"/>
      <c r="F327" s="69"/>
      <c r="G327" s="69"/>
      <c r="I327" s="70"/>
      <c r="J327" s="70"/>
      <c r="K327" s="70"/>
      <c r="L327" s="70"/>
      <c r="M327" s="70"/>
      <c r="N327" s="70"/>
      <c r="P327" s="71"/>
    </row>
    <row r="328" spans="2:16" x14ac:dyDescent="0.2">
      <c r="B328" s="68"/>
      <c r="C328" s="69"/>
      <c r="D328" s="69"/>
      <c r="E328" s="69"/>
      <c r="F328" s="69"/>
      <c r="G328" s="69"/>
      <c r="I328" s="70"/>
      <c r="J328" s="70"/>
      <c r="K328" s="70"/>
      <c r="L328" s="70"/>
      <c r="M328" s="70"/>
      <c r="N328" s="70"/>
      <c r="P328" s="71"/>
    </row>
    <row r="329" spans="2:16" x14ac:dyDescent="0.2">
      <c r="B329" s="68"/>
      <c r="C329" s="69"/>
      <c r="D329" s="69"/>
      <c r="E329" s="69"/>
      <c r="F329" s="69"/>
      <c r="G329" s="69"/>
      <c r="I329" s="70"/>
      <c r="J329" s="70"/>
      <c r="K329" s="70"/>
      <c r="L329" s="70"/>
      <c r="M329" s="70"/>
      <c r="N329" s="70"/>
      <c r="P329" s="71"/>
    </row>
    <row r="330" spans="2:16" x14ac:dyDescent="0.2">
      <c r="B330" s="68"/>
      <c r="C330" s="69"/>
      <c r="D330" s="69"/>
      <c r="E330" s="69"/>
      <c r="F330" s="69"/>
      <c r="G330" s="69"/>
      <c r="I330" s="70"/>
      <c r="J330" s="70"/>
      <c r="K330" s="70"/>
      <c r="L330" s="70"/>
      <c r="M330" s="70"/>
      <c r="N330" s="70"/>
      <c r="P330" s="71"/>
    </row>
    <row r="331" spans="2:16" x14ac:dyDescent="0.2">
      <c r="B331" s="68"/>
      <c r="C331" s="69"/>
      <c r="D331" s="69"/>
      <c r="E331" s="69"/>
      <c r="F331" s="69"/>
      <c r="G331" s="69"/>
      <c r="I331" s="70"/>
      <c r="J331" s="70"/>
      <c r="K331" s="70"/>
      <c r="L331" s="70"/>
      <c r="M331" s="70"/>
      <c r="N331" s="70"/>
      <c r="P331" s="71"/>
    </row>
    <row r="332" spans="2:16" x14ac:dyDescent="0.2">
      <c r="B332" s="68"/>
      <c r="C332" s="69"/>
      <c r="D332" s="69"/>
      <c r="E332" s="69"/>
      <c r="F332" s="69"/>
      <c r="G332" s="69"/>
      <c r="I332" s="70"/>
      <c r="J332" s="70"/>
      <c r="K332" s="70"/>
      <c r="L332" s="70"/>
      <c r="M332" s="70"/>
      <c r="N332" s="70"/>
      <c r="P332" s="71"/>
    </row>
    <row r="333" spans="2:16" x14ac:dyDescent="0.2">
      <c r="B333" s="68"/>
      <c r="C333" s="69"/>
      <c r="D333" s="69"/>
      <c r="E333" s="69"/>
      <c r="F333" s="69"/>
      <c r="G333" s="69"/>
      <c r="I333" s="70"/>
      <c r="J333" s="70"/>
      <c r="K333" s="70"/>
      <c r="L333" s="70"/>
      <c r="M333" s="70"/>
      <c r="N333" s="70"/>
      <c r="P333" s="71"/>
    </row>
    <row r="334" spans="2:16" x14ac:dyDescent="0.2">
      <c r="B334" s="68"/>
      <c r="C334" s="69"/>
      <c r="D334" s="69"/>
      <c r="E334" s="69"/>
      <c r="F334" s="69"/>
      <c r="G334" s="69"/>
      <c r="I334" s="70"/>
      <c r="J334" s="70"/>
      <c r="K334" s="70"/>
      <c r="L334" s="70"/>
      <c r="M334" s="70"/>
      <c r="N334" s="70"/>
      <c r="P334" s="71"/>
    </row>
    <row r="335" spans="2:16" x14ac:dyDescent="0.2">
      <c r="B335" s="68"/>
      <c r="C335" s="69"/>
      <c r="D335" s="69"/>
      <c r="E335" s="69"/>
      <c r="F335" s="69"/>
      <c r="G335" s="69"/>
      <c r="I335" s="70"/>
      <c r="J335" s="70"/>
      <c r="K335" s="70"/>
      <c r="L335" s="70"/>
      <c r="M335" s="70"/>
      <c r="N335" s="70"/>
      <c r="P335" s="71"/>
    </row>
    <row r="336" spans="2:16" x14ac:dyDescent="0.2">
      <c r="B336" s="68"/>
      <c r="C336" s="69"/>
      <c r="D336" s="69"/>
      <c r="E336" s="69"/>
      <c r="F336" s="69"/>
      <c r="G336" s="69"/>
      <c r="I336" s="70"/>
      <c r="J336" s="70"/>
      <c r="K336" s="70"/>
      <c r="L336" s="70"/>
      <c r="M336" s="70"/>
      <c r="N336" s="70"/>
      <c r="P336" s="71"/>
    </row>
    <row r="337" spans="2:16" x14ac:dyDescent="0.2">
      <c r="B337" s="68"/>
      <c r="C337" s="69"/>
      <c r="D337" s="69"/>
      <c r="E337" s="69"/>
      <c r="F337" s="69"/>
      <c r="G337" s="69"/>
      <c r="I337" s="70"/>
      <c r="J337" s="70"/>
      <c r="K337" s="70"/>
      <c r="L337" s="70"/>
      <c r="M337" s="70"/>
      <c r="N337" s="70"/>
      <c r="P337" s="71"/>
    </row>
    <row r="338" spans="2:16" x14ac:dyDescent="0.2">
      <c r="B338" s="68"/>
      <c r="C338" s="69"/>
      <c r="D338" s="69"/>
      <c r="E338" s="69"/>
      <c r="F338" s="69"/>
      <c r="G338" s="69"/>
      <c r="I338" s="70"/>
      <c r="J338" s="70"/>
      <c r="K338" s="70"/>
      <c r="L338" s="70"/>
      <c r="M338" s="70"/>
      <c r="N338" s="70"/>
      <c r="P338" s="71"/>
    </row>
    <row r="339" spans="2:16" x14ac:dyDescent="0.2">
      <c r="B339" s="68"/>
      <c r="C339" s="69"/>
      <c r="D339" s="69"/>
      <c r="E339" s="69"/>
      <c r="F339" s="69"/>
      <c r="G339" s="69"/>
      <c r="I339" s="70"/>
      <c r="J339" s="70"/>
      <c r="K339" s="70"/>
      <c r="L339" s="70"/>
      <c r="M339" s="70"/>
      <c r="N339" s="70"/>
      <c r="P339" s="71"/>
    </row>
    <row r="340" spans="2:16" x14ac:dyDescent="0.2">
      <c r="B340" s="68"/>
      <c r="C340" s="69"/>
      <c r="D340" s="69"/>
      <c r="E340" s="69"/>
      <c r="F340" s="69"/>
      <c r="G340" s="69"/>
      <c r="I340" s="70"/>
      <c r="J340" s="70"/>
      <c r="K340" s="70"/>
      <c r="L340" s="70"/>
      <c r="M340" s="70"/>
      <c r="N340" s="70"/>
      <c r="P340" s="71"/>
    </row>
    <row r="341" spans="2:16" x14ac:dyDescent="0.2">
      <c r="B341" s="68"/>
      <c r="C341" s="69"/>
      <c r="D341" s="69"/>
      <c r="E341" s="69"/>
      <c r="F341" s="69"/>
      <c r="G341" s="69"/>
      <c r="I341" s="70"/>
      <c r="J341" s="70"/>
      <c r="K341" s="70"/>
      <c r="L341" s="70"/>
      <c r="M341" s="70"/>
      <c r="N341" s="70"/>
      <c r="P341" s="71"/>
    </row>
    <row r="342" spans="2:16" x14ac:dyDescent="0.2">
      <c r="B342" s="68"/>
      <c r="C342" s="69"/>
      <c r="D342" s="69"/>
      <c r="E342" s="69"/>
      <c r="F342" s="69"/>
      <c r="G342" s="69"/>
      <c r="I342" s="70"/>
      <c r="J342" s="70"/>
      <c r="K342" s="70"/>
      <c r="L342" s="70"/>
      <c r="M342" s="70"/>
      <c r="N342" s="70"/>
      <c r="P342" s="71"/>
    </row>
    <row r="343" spans="2:16" x14ac:dyDescent="0.2">
      <c r="B343" s="68"/>
      <c r="C343" s="69"/>
      <c r="D343" s="69"/>
      <c r="E343" s="69"/>
      <c r="F343" s="69"/>
      <c r="G343" s="69"/>
      <c r="I343" s="70"/>
      <c r="J343" s="70"/>
      <c r="K343" s="70"/>
      <c r="L343" s="70"/>
      <c r="M343" s="70"/>
      <c r="N343" s="70"/>
      <c r="P343" s="71"/>
    </row>
    <row r="344" spans="2:16" x14ac:dyDescent="0.2">
      <c r="B344" s="68"/>
      <c r="C344" s="69"/>
      <c r="D344" s="69"/>
      <c r="E344" s="69"/>
      <c r="F344" s="69"/>
      <c r="G344" s="69"/>
      <c r="I344" s="70"/>
      <c r="J344" s="70"/>
      <c r="K344" s="70"/>
      <c r="L344" s="70"/>
      <c r="M344" s="70"/>
      <c r="N344" s="70"/>
      <c r="P344" s="71"/>
    </row>
    <row r="345" spans="2:16" x14ac:dyDescent="0.2">
      <c r="B345" s="68"/>
      <c r="C345" s="69"/>
      <c r="D345" s="69"/>
      <c r="E345" s="69"/>
      <c r="F345" s="69"/>
      <c r="G345" s="69"/>
      <c r="I345" s="70"/>
      <c r="J345" s="70"/>
      <c r="K345" s="70"/>
      <c r="L345" s="70"/>
      <c r="M345" s="70"/>
      <c r="N345" s="70"/>
      <c r="P345" s="71"/>
    </row>
    <row r="346" spans="2:16" x14ac:dyDescent="0.2">
      <c r="B346" s="68"/>
      <c r="C346" s="69"/>
      <c r="D346" s="69"/>
      <c r="E346" s="69"/>
      <c r="F346" s="69"/>
      <c r="G346" s="69"/>
      <c r="I346" s="70"/>
      <c r="J346" s="70"/>
      <c r="K346" s="70"/>
      <c r="L346" s="70"/>
      <c r="M346" s="70"/>
      <c r="N346" s="70"/>
      <c r="P346" s="71"/>
    </row>
    <row r="347" spans="2:16" x14ac:dyDescent="0.2">
      <c r="B347" s="68"/>
      <c r="C347" s="69"/>
      <c r="D347" s="69"/>
      <c r="E347" s="69"/>
      <c r="F347" s="69"/>
      <c r="G347" s="69"/>
      <c r="I347" s="70"/>
      <c r="J347" s="70"/>
      <c r="K347" s="70"/>
      <c r="L347" s="70"/>
      <c r="M347" s="70"/>
      <c r="N347" s="70"/>
      <c r="P347" s="71"/>
    </row>
    <row r="348" spans="2:16" x14ac:dyDescent="0.2">
      <c r="B348" s="68"/>
      <c r="C348" s="69"/>
      <c r="D348" s="69"/>
      <c r="E348" s="69"/>
      <c r="F348" s="69"/>
      <c r="G348" s="69"/>
      <c r="I348" s="70"/>
      <c r="J348" s="70"/>
      <c r="K348" s="70"/>
      <c r="L348" s="70"/>
      <c r="M348" s="70"/>
      <c r="N348" s="70"/>
      <c r="P348" s="71"/>
    </row>
    <row r="349" spans="2:16" x14ac:dyDescent="0.2">
      <c r="B349" s="68"/>
      <c r="C349" s="69"/>
      <c r="D349" s="69"/>
      <c r="E349" s="69"/>
      <c r="F349" s="69"/>
      <c r="G349" s="69"/>
      <c r="I349" s="70"/>
      <c r="J349" s="70"/>
      <c r="K349" s="70"/>
      <c r="L349" s="70"/>
      <c r="M349" s="70"/>
      <c r="N349" s="70"/>
      <c r="P349" s="71"/>
    </row>
    <row r="350" spans="2:16" x14ac:dyDescent="0.2">
      <c r="B350" s="68"/>
      <c r="C350" s="69"/>
      <c r="D350" s="69"/>
      <c r="E350" s="69"/>
      <c r="F350" s="69"/>
      <c r="G350" s="69"/>
      <c r="I350" s="70"/>
      <c r="J350" s="70"/>
      <c r="K350" s="70"/>
      <c r="L350" s="70"/>
      <c r="M350" s="70"/>
      <c r="N350" s="70"/>
      <c r="P350" s="71"/>
    </row>
    <row r="351" spans="2:16" x14ac:dyDescent="0.2">
      <c r="B351" s="68"/>
      <c r="C351" s="69"/>
      <c r="D351" s="69"/>
      <c r="E351" s="69"/>
      <c r="F351" s="69"/>
      <c r="G351" s="69"/>
      <c r="I351" s="70"/>
      <c r="J351" s="70"/>
      <c r="K351" s="70"/>
      <c r="L351" s="70"/>
      <c r="M351" s="70"/>
      <c r="N351" s="70"/>
      <c r="P351" s="71"/>
    </row>
    <row r="352" spans="2:16" x14ac:dyDescent="0.2">
      <c r="B352" s="68"/>
      <c r="C352" s="69"/>
      <c r="D352" s="69"/>
      <c r="E352" s="69"/>
      <c r="F352" s="69"/>
      <c r="G352" s="69"/>
      <c r="I352" s="70"/>
      <c r="J352" s="70"/>
      <c r="K352" s="70"/>
      <c r="L352" s="70"/>
      <c r="M352" s="70"/>
      <c r="N352" s="70"/>
      <c r="P352" s="71"/>
    </row>
    <row r="353" spans="2:16" x14ac:dyDescent="0.2">
      <c r="B353" s="68"/>
      <c r="C353" s="69"/>
      <c r="D353" s="69"/>
      <c r="E353" s="69"/>
      <c r="F353" s="69"/>
      <c r="G353" s="69"/>
      <c r="I353" s="70"/>
      <c r="J353" s="70"/>
      <c r="K353" s="70"/>
      <c r="L353" s="70"/>
      <c r="M353" s="70"/>
      <c r="N353" s="70"/>
      <c r="P353" s="71"/>
    </row>
    <row r="354" spans="2:16" x14ac:dyDescent="0.2">
      <c r="B354" s="68"/>
      <c r="C354" s="69"/>
      <c r="D354" s="69"/>
      <c r="E354" s="69"/>
      <c r="F354" s="69"/>
      <c r="G354" s="69"/>
      <c r="I354" s="70"/>
      <c r="J354" s="70"/>
      <c r="K354" s="70"/>
      <c r="L354" s="70"/>
      <c r="M354" s="70"/>
      <c r="N354" s="70"/>
      <c r="P354" s="71"/>
    </row>
    <row r="355" spans="2:16" x14ac:dyDescent="0.2">
      <c r="B355" s="68"/>
      <c r="C355" s="69"/>
      <c r="D355" s="69"/>
      <c r="E355" s="69"/>
      <c r="F355" s="69"/>
      <c r="G355" s="69"/>
      <c r="I355" s="70"/>
      <c r="J355" s="70"/>
      <c r="K355" s="70"/>
      <c r="L355" s="70"/>
      <c r="M355" s="70"/>
      <c r="N355" s="70"/>
      <c r="P355" s="71"/>
    </row>
    <row r="356" spans="2:16" x14ac:dyDescent="0.2">
      <c r="B356" s="68"/>
      <c r="C356" s="69"/>
      <c r="D356" s="69"/>
      <c r="E356" s="69"/>
      <c r="F356" s="69"/>
      <c r="G356" s="69"/>
      <c r="I356" s="70"/>
      <c r="J356" s="70"/>
      <c r="K356" s="70"/>
      <c r="L356" s="70"/>
      <c r="M356" s="70"/>
      <c r="N356" s="70"/>
      <c r="P356" s="71"/>
    </row>
    <row r="357" spans="2:16" x14ac:dyDescent="0.2">
      <c r="B357" s="68"/>
      <c r="C357" s="69"/>
      <c r="D357" s="69"/>
      <c r="E357" s="69"/>
      <c r="F357" s="69"/>
      <c r="G357" s="69"/>
      <c r="I357" s="70"/>
      <c r="J357" s="70"/>
      <c r="K357" s="70"/>
      <c r="L357" s="70"/>
      <c r="M357" s="70"/>
      <c r="N357" s="70"/>
      <c r="P357" s="71"/>
    </row>
    <row r="358" spans="2:16" x14ac:dyDescent="0.2">
      <c r="B358" s="68"/>
      <c r="C358" s="69"/>
      <c r="D358" s="69"/>
      <c r="E358" s="69"/>
      <c r="F358" s="69"/>
      <c r="G358" s="69"/>
      <c r="I358" s="70"/>
      <c r="J358" s="70"/>
      <c r="K358" s="70"/>
      <c r="L358" s="70"/>
      <c r="M358" s="70"/>
      <c r="N358" s="70"/>
      <c r="P358" s="71"/>
    </row>
    <row r="359" spans="2:16" x14ac:dyDescent="0.2">
      <c r="B359" s="68"/>
      <c r="C359" s="69"/>
      <c r="D359" s="69"/>
      <c r="E359" s="69"/>
      <c r="F359" s="69"/>
      <c r="G359" s="69"/>
      <c r="I359" s="70"/>
      <c r="J359" s="70"/>
      <c r="K359" s="70"/>
      <c r="L359" s="70"/>
      <c r="M359" s="70"/>
      <c r="N359" s="70"/>
      <c r="P359" s="71"/>
    </row>
    <row r="360" spans="2:16" x14ac:dyDescent="0.2">
      <c r="B360" s="68"/>
      <c r="C360" s="69"/>
      <c r="D360" s="69"/>
      <c r="E360" s="69"/>
      <c r="F360" s="69"/>
      <c r="G360" s="69"/>
      <c r="I360" s="70"/>
      <c r="J360" s="70"/>
      <c r="K360" s="70"/>
      <c r="L360" s="70"/>
      <c r="M360" s="70"/>
      <c r="N360" s="70"/>
      <c r="P360" s="71"/>
    </row>
    <row r="361" spans="2:16" x14ac:dyDescent="0.2">
      <c r="B361" s="68"/>
      <c r="C361" s="69"/>
      <c r="D361" s="69"/>
      <c r="E361" s="69"/>
      <c r="F361" s="69"/>
      <c r="G361" s="69"/>
      <c r="I361" s="70"/>
      <c r="J361" s="70"/>
      <c r="K361" s="70"/>
      <c r="L361" s="70"/>
      <c r="M361" s="70"/>
      <c r="N361" s="70"/>
      <c r="P361" s="71"/>
    </row>
    <row r="362" spans="2:16" x14ac:dyDescent="0.2">
      <c r="B362" s="68"/>
      <c r="C362" s="69"/>
      <c r="D362" s="69"/>
      <c r="E362" s="69"/>
      <c r="F362" s="69"/>
      <c r="G362" s="69"/>
      <c r="I362" s="70"/>
      <c r="J362" s="70"/>
      <c r="K362" s="70"/>
      <c r="L362" s="70"/>
      <c r="M362" s="70"/>
      <c r="N362" s="70"/>
      <c r="P362" s="71"/>
    </row>
    <row r="363" spans="2:16" x14ac:dyDescent="0.2">
      <c r="B363" s="68"/>
      <c r="C363" s="69"/>
      <c r="D363" s="69"/>
      <c r="E363" s="69"/>
      <c r="F363" s="69"/>
      <c r="G363" s="69"/>
      <c r="I363" s="70"/>
      <c r="J363" s="70"/>
      <c r="K363" s="70"/>
      <c r="L363" s="70"/>
      <c r="M363" s="70"/>
      <c r="N363" s="70"/>
      <c r="P363" s="71"/>
    </row>
    <row r="364" spans="2:16" x14ac:dyDescent="0.2">
      <c r="B364" s="68"/>
      <c r="C364" s="69"/>
      <c r="D364" s="69"/>
      <c r="E364" s="69"/>
      <c r="F364" s="69"/>
      <c r="G364" s="69"/>
      <c r="I364" s="70"/>
      <c r="J364" s="70"/>
      <c r="K364" s="70"/>
      <c r="L364" s="70"/>
      <c r="M364" s="70"/>
      <c r="N364" s="70"/>
      <c r="P364" s="71"/>
    </row>
    <row r="365" spans="2:16" x14ac:dyDescent="0.2">
      <c r="B365" s="68"/>
      <c r="C365" s="69"/>
      <c r="D365" s="69"/>
      <c r="E365" s="69"/>
      <c r="F365" s="69"/>
      <c r="G365" s="69"/>
      <c r="I365" s="70"/>
      <c r="J365" s="70"/>
      <c r="K365" s="70"/>
      <c r="L365" s="70"/>
      <c r="M365" s="70"/>
      <c r="N365" s="70"/>
      <c r="P365" s="71"/>
    </row>
    <row r="366" spans="2:16" x14ac:dyDescent="0.2">
      <c r="B366" s="68"/>
      <c r="C366" s="69"/>
      <c r="D366" s="69"/>
      <c r="E366" s="69"/>
      <c r="F366" s="69"/>
      <c r="G366" s="69"/>
      <c r="I366" s="70"/>
      <c r="J366" s="70"/>
      <c r="K366" s="70"/>
      <c r="L366" s="70"/>
      <c r="M366" s="70"/>
      <c r="N366" s="70"/>
      <c r="P366" s="71"/>
    </row>
    <row r="367" spans="2:16" x14ac:dyDescent="0.2">
      <c r="B367" s="68"/>
      <c r="C367" s="69"/>
      <c r="D367" s="69"/>
      <c r="E367" s="69"/>
      <c r="F367" s="69"/>
      <c r="G367" s="69"/>
      <c r="I367" s="70"/>
      <c r="J367" s="70"/>
      <c r="K367" s="70"/>
      <c r="L367" s="70"/>
      <c r="M367" s="70"/>
      <c r="N367" s="70"/>
      <c r="P367" s="71"/>
    </row>
    <row r="368" spans="2:16" x14ac:dyDescent="0.2">
      <c r="B368" s="68"/>
      <c r="C368" s="69"/>
      <c r="D368" s="69"/>
      <c r="E368" s="69"/>
      <c r="F368" s="69"/>
      <c r="G368" s="69"/>
      <c r="I368" s="70"/>
      <c r="J368" s="70"/>
      <c r="K368" s="70"/>
      <c r="L368" s="70"/>
      <c r="M368" s="70"/>
      <c r="N368" s="70"/>
      <c r="P368" s="71"/>
    </row>
    <row r="369" spans="2:16" x14ac:dyDescent="0.2">
      <c r="B369" s="68"/>
      <c r="C369" s="69"/>
      <c r="D369" s="69"/>
      <c r="E369" s="69"/>
      <c r="F369" s="69"/>
      <c r="G369" s="69"/>
      <c r="I369" s="70"/>
      <c r="J369" s="70"/>
      <c r="K369" s="70"/>
      <c r="L369" s="70"/>
      <c r="M369" s="70"/>
      <c r="N369" s="70"/>
      <c r="P369" s="71"/>
    </row>
    <row r="370" spans="2:16" x14ac:dyDescent="0.2">
      <c r="B370" s="68"/>
      <c r="C370" s="69"/>
      <c r="D370" s="69"/>
      <c r="E370" s="69"/>
      <c r="F370" s="69"/>
      <c r="G370" s="69"/>
      <c r="I370" s="70"/>
      <c r="J370" s="70"/>
      <c r="K370" s="70"/>
      <c r="L370" s="70"/>
      <c r="M370" s="70"/>
      <c r="N370" s="70"/>
      <c r="P370" s="71"/>
    </row>
    <row r="371" spans="2:16" x14ac:dyDescent="0.2">
      <c r="B371" s="68"/>
      <c r="C371" s="69"/>
      <c r="D371" s="69"/>
      <c r="E371" s="69"/>
      <c r="F371" s="69"/>
      <c r="G371" s="69"/>
      <c r="I371" s="70"/>
      <c r="J371" s="70"/>
      <c r="K371" s="70"/>
      <c r="L371" s="70"/>
      <c r="M371" s="70"/>
      <c r="N371" s="70"/>
      <c r="P371" s="71"/>
    </row>
    <row r="372" spans="2:16" x14ac:dyDescent="0.2">
      <c r="B372" s="68"/>
      <c r="C372" s="69"/>
      <c r="D372" s="69"/>
      <c r="E372" s="69"/>
      <c r="F372" s="69"/>
      <c r="G372" s="69"/>
      <c r="I372" s="70"/>
      <c r="J372" s="70"/>
      <c r="K372" s="70"/>
      <c r="L372" s="70"/>
      <c r="M372" s="70"/>
      <c r="N372" s="70"/>
      <c r="P372" s="71"/>
    </row>
    <row r="373" spans="2:16" x14ac:dyDescent="0.2">
      <c r="B373" s="68"/>
      <c r="C373" s="69"/>
      <c r="D373" s="69"/>
      <c r="E373" s="69"/>
      <c r="F373" s="69"/>
      <c r="G373" s="69"/>
      <c r="I373" s="70"/>
      <c r="J373" s="70"/>
      <c r="K373" s="70"/>
      <c r="L373" s="70"/>
      <c r="M373" s="70"/>
      <c r="N373" s="70"/>
      <c r="P373" s="71"/>
    </row>
    <row r="374" spans="2:16" x14ac:dyDescent="0.2">
      <c r="B374" s="68"/>
      <c r="C374" s="69"/>
      <c r="D374" s="69"/>
      <c r="E374" s="69"/>
      <c r="F374" s="69"/>
      <c r="G374" s="69"/>
      <c r="I374" s="70"/>
      <c r="J374" s="70"/>
      <c r="K374" s="70"/>
      <c r="L374" s="70"/>
      <c r="M374" s="70"/>
      <c r="N374" s="70"/>
      <c r="P374" s="71"/>
    </row>
    <row r="375" spans="2:16" x14ac:dyDescent="0.2">
      <c r="B375" s="68"/>
      <c r="C375" s="69"/>
      <c r="D375" s="69"/>
      <c r="E375" s="69"/>
      <c r="F375" s="69"/>
      <c r="G375" s="69"/>
      <c r="I375" s="70"/>
      <c r="J375" s="70"/>
      <c r="K375" s="70"/>
      <c r="L375" s="70"/>
      <c r="M375" s="70"/>
      <c r="N375" s="70"/>
      <c r="P375" s="71"/>
    </row>
    <row r="376" spans="2:16" x14ac:dyDescent="0.2">
      <c r="B376" s="68"/>
      <c r="C376" s="69"/>
      <c r="D376" s="69"/>
      <c r="E376" s="69"/>
      <c r="F376" s="69"/>
      <c r="G376" s="69"/>
      <c r="I376" s="70"/>
      <c r="J376" s="70"/>
      <c r="K376" s="70"/>
      <c r="L376" s="70"/>
      <c r="M376" s="70"/>
      <c r="N376" s="70"/>
      <c r="P376" s="71"/>
    </row>
    <row r="377" spans="2:16" x14ac:dyDescent="0.2">
      <c r="B377" s="68"/>
      <c r="C377" s="69"/>
      <c r="D377" s="69"/>
      <c r="E377" s="69"/>
      <c r="F377" s="69"/>
      <c r="G377" s="69"/>
      <c r="I377" s="70"/>
      <c r="J377" s="70"/>
      <c r="K377" s="70"/>
      <c r="L377" s="70"/>
      <c r="M377" s="70"/>
      <c r="N377" s="70"/>
      <c r="P377" s="71"/>
    </row>
    <row r="378" spans="2:16" x14ac:dyDescent="0.2">
      <c r="B378" s="68"/>
      <c r="C378" s="69"/>
      <c r="D378" s="69"/>
      <c r="E378" s="69"/>
      <c r="F378" s="69"/>
      <c r="G378" s="69"/>
      <c r="I378" s="70"/>
      <c r="J378" s="70"/>
      <c r="K378" s="70"/>
      <c r="L378" s="70"/>
      <c r="M378" s="70"/>
      <c r="N378" s="70"/>
      <c r="P378" s="71"/>
    </row>
    <row r="379" spans="2:16" x14ac:dyDescent="0.2">
      <c r="B379" s="68"/>
      <c r="C379" s="69"/>
      <c r="D379" s="69"/>
      <c r="E379" s="69"/>
      <c r="F379" s="69"/>
      <c r="G379" s="69"/>
      <c r="I379" s="70"/>
      <c r="J379" s="70"/>
      <c r="K379" s="70"/>
      <c r="L379" s="70"/>
      <c r="M379" s="70"/>
      <c r="N379" s="70"/>
      <c r="P379" s="71"/>
    </row>
    <row r="380" spans="2:16" x14ac:dyDescent="0.2">
      <c r="B380" s="68"/>
      <c r="C380" s="69"/>
      <c r="D380" s="69"/>
      <c r="E380" s="69"/>
      <c r="F380" s="69"/>
      <c r="G380" s="69"/>
      <c r="I380" s="70"/>
      <c r="J380" s="70"/>
      <c r="K380" s="70"/>
      <c r="L380" s="70"/>
      <c r="M380" s="70"/>
      <c r="N380" s="70"/>
      <c r="P380" s="71"/>
    </row>
    <row r="381" spans="2:16" x14ac:dyDescent="0.2">
      <c r="B381" s="68"/>
      <c r="C381" s="69"/>
      <c r="D381" s="69"/>
      <c r="E381" s="69"/>
      <c r="F381" s="69"/>
      <c r="G381" s="69"/>
      <c r="I381" s="70"/>
      <c r="J381" s="70"/>
      <c r="K381" s="70"/>
      <c r="L381" s="70"/>
      <c r="M381" s="70"/>
      <c r="N381" s="70"/>
      <c r="P381" s="71"/>
    </row>
    <row r="382" spans="2:16" x14ac:dyDescent="0.2">
      <c r="B382" s="68"/>
      <c r="C382" s="69"/>
      <c r="D382" s="69"/>
      <c r="E382" s="69"/>
      <c r="F382" s="69"/>
      <c r="G382" s="69"/>
      <c r="I382" s="70"/>
      <c r="J382" s="70"/>
      <c r="K382" s="70"/>
      <c r="L382" s="70"/>
      <c r="M382" s="70"/>
      <c r="N382" s="70"/>
      <c r="P382" s="71"/>
    </row>
    <row r="383" spans="2:16" x14ac:dyDescent="0.2">
      <c r="B383" s="68"/>
      <c r="C383" s="69"/>
      <c r="D383" s="69"/>
      <c r="E383" s="69"/>
      <c r="F383" s="69"/>
      <c r="G383" s="69"/>
      <c r="I383" s="70"/>
      <c r="J383" s="70"/>
      <c r="K383" s="70"/>
      <c r="L383" s="70"/>
      <c r="M383" s="70"/>
      <c r="N383" s="70"/>
      <c r="P383" s="71"/>
    </row>
    <row r="384" spans="2:16" x14ac:dyDescent="0.2">
      <c r="B384" s="68"/>
      <c r="C384" s="69"/>
      <c r="D384" s="69"/>
      <c r="E384" s="69"/>
      <c r="F384" s="69"/>
      <c r="G384" s="69"/>
      <c r="I384" s="70"/>
      <c r="J384" s="70"/>
      <c r="K384" s="70"/>
      <c r="L384" s="70"/>
      <c r="M384" s="70"/>
      <c r="N384" s="70"/>
      <c r="P384" s="71"/>
    </row>
    <row r="385" spans="2:16" x14ac:dyDescent="0.2">
      <c r="B385" s="68"/>
      <c r="C385" s="69"/>
      <c r="D385" s="69"/>
      <c r="E385" s="69"/>
      <c r="F385" s="69"/>
      <c r="G385" s="69"/>
      <c r="I385" s="70"/>
      <c r="J385" s="70"/>
      <c r="K385" s="70"/>
      <c r="L385" s="70"/>
      <c r="M385" s="70"/>
      <c r="N385" s="70"/>
      <c r="P385" s="71"/>
    </row>
    <row r="386" spans="2:16" x14ac:dyDescent="0.2">
      <c r="B386" s="68"/>
      <c r="C386" s="69"/>
      <c r="D386" s="69"/>
      <c r="E386" s="69"/>
      <c r="F386" s="69"/>
      <c r="G386" s="69"/>
      <c r="I386" s="70"/>
      <c r="J386" s="70"/>
      <c r="K386" s="70"/>
      <c r="L386" s="70"/>
      <c r="M386" s="70"/>
      <c r="N386" s="70"/>
      <c r="P386" s="71"/>
    </row>
    <row r="387" spans="2:16" x14ac:dyDescent="0.2">
      <c r="B387" s="68"/>
      <c r="C387" s="69"/>
      <c r="D387" s="69"/>
      <c r="E387" s="69"/>
      <c r="F387" s="69"/>
      <c r="G387" s="69"/>
      <c r="I387" s="70"/>
      <c r="J387" s="70"/>
      <c r="K387" s="70"/>
      <c r="L387" s="70"/>
      <c r="M387" s="70"/>
      <c r="N387" s="70"/>
      <c r="P387" s="71"/>
    </row>
    <row r="388" spans="2:16" x14ac:dyDescent="0.2">
      <c r="B388" s="68"/>
      <c r="C388" s="69"/>
      <c r="D388" s="69"/>
      <c r="E388" s="69"/>
      <c r="F388" s="69"/>
      <c r="G388" s="69"/>
      <c r="I388" s="70"/>
      <c r="J388" s="70"/>
      <c r="K388" s="70"/>
      <c r="L388" s="70"/>
      <c r="M388" s="70"/>
      <c r="N388" s="70"/>
      <c r="P388" s="71"/>
    </row>
    <row r="389" spans="2:16" x14ac:dyDescent="0.2">
      <c r="B389" s="68"/>
      <c r="C389" s="69"/>
      <c r="D389" s="69"/>
      <c r="E389" s="69"/>
      <c r="F389" s="69"/>
      <c r="G389" s="69"/>
      <c r="I389" s="70"/>
      <c r="J389" s="70"/>
      <c r="K389" s="70"/>
      <c r="L389" s="70"/>
      <c r="M389" s="70"/>
      <c r="N389" s="70"/>
      <c r="P389" s="71"/>
    </row>
    <row r="390" spans="2:16" x14ac:dyDescent="0.2">
      <c r="B390" s="68"/>
      <c r="C390" s="69"/>
      <c r="D390" s="69"/>
      <c r="E390" s="69"/>
      <c r="F390" s="69"/>
      <c r="G390" s="69"/>
      <c r="I390" s="70"/>
      <c r="J390" s="70"/>
      <c r="K390" s="70"/>
      <c r="L390" s="70"/>
      <c r="M390" s="70"/>
      <c r="N390" s="70"/>
      <c r="P390" s="71"/>
    </row>
    <row r="391" spans="2:16" x14ac:dyDescent="0.2">
      <c r="B391" s="68"/>
      <c r="C391" s="69"/>
      <c r="D391" s="69"/>
      <c r="E391" s="69"/>
      <c r="F391" s="69"/>
      <c r="G391" s="69"/>
      <c r="I391" s="70"/>
      <c r="J391" s="70"/>
      <c r="K391" s="70"/>
      <c r="L391" s="70"/>
      <c r="M391" s="70"/>
      <c r="N391" s="70"/>
      <c r="P391" s="71"/>
    </row>
    <row r="392" spans="2:16" x14ac:dyDescent="0.2">
      <c r="B392" s="68"/>
      <c r="C392" s="69"/>
      <c r="D392" s="69"/>
      <c r="E392" s="69"/>
      <c r="F392" s="69"/>
      <c r="G392" s="69"/>
      <c r="I392" s="70"/>
      <c r="J392" s="70"/>
      <c r="K392" s="70"/>
      <c r="L392" s="70"/>
      <c r="M392" s="70"/>
      <c r="N392" s="70"/>
      <c r="P392" s="71"/>
    </row>
    <row r="393" spans="2:16" x14ac:dyDescent="0.2">
      <c r="B393" s="68"/>
      <c r="C393" s="69"/>
      <c r="D393" s="69"/>
      <c r="E393" s="69"/>
      <c r="F393" s="69"/>
      <c r="G393" s="69"/>
      <c r="I393" s="70"/>
      <c r="J393" s="70"/>
      <c r="K393" s="70"/>
      <c r="L393" s="70"/>
      <c r="M393" s="70"/>
      <c r="N393" s="70"/>
      <c r="P393" s="71"/>
    </row>
    <row r="394" spans="2:16" x14ac:dyDescent="0.2">
      <c r="B394" s="68"/>
      <c r="C394" s="69"/>
      <c r="D394" s="69"/>
      <c r="E394" s="69"/>
      <c r="F394" s="69"/>
      <c r="G394" s="69"/>
      <c r="I394" s="70"/>
      <c r="J394" s="70"/>
      <c r="K394" s="70"/>
      <c r="L394" s="70"/>
      <c r="M394" s="70"/>
      <c r="N394" s="70"/>
      <c r="P394" s="71"/>
    </row>
    <row r="395" spans="2:16" x14ac:dyDescent="0.2">
      <c r="B395" s="68"/>
      <c r="C395" s="69"/>
      <c r="D395" s="69"/>
      <c r="E395" s="69"/>
      <c r="F395" s="69"/>
      <c r="G395" s="69"/>
      <c r="I395" s="70"/>
      <c r="J395" s="70"/>
      <c r="K395" s="70"/>
      <c r="L395" s="70"/>
      <c r="M395" s="70"/>
      <c r="N395" s="70"/>
      <c r="P395" s="71"/>
    </row>
    <row r="396" spans="2:16" x14ac:dyDescent="0.2">
      <c r="B396" s="68"/>
      <c r="C396" s="69"/>
      <c r="D396" s="69"/>
      <c r="E396" s="69"/>
      <c r="F396" s="69"/>
      <c r="G396" s="69"/>
      <c r="I396" s="70"/>
      <c r="J396" s="70"/>
      <c r="K396" s="70"/>
      <c r="L396" s="70"/>
      <c r="M396" s="70"/>
      <c r="N396" s="70"/>
      <c r="P396" s="71"/>
    </row>
    <row r="397" spans="2:16" x14ac:dyDescent="0.2">
      <c r="B397" s="68"/>
      <c r="C397" s="69"/>
      <c r="D397" s="69"/>
      <c r="E397" s="69"/>
      <c r="F397" s="69"/>
      <c r="G397" s="69"/>
      <c r="I397" s="70"/>
      <c r="J397" s="70"/>
      <c r="K397" s="70"/>
      <c r="L397" s="70"/>
      <c r="M397" s="70"/>
      <c r="N397" s="70"/>
      <c r="P397" s="71"/>
    </row>
    <row r="398" spans="2:16" x14ac:dyDescent="0.2">
      <c r="B398" s="68"/>
      <c r="C398" s="69"/>
      <c r="D398" s="69"/>
      <c r="E398" s="69"/>
      <c r="F398" s="69"/>
      <c r="G398" s="69"/>
      <c r="I398" s="70"/>
      <c r="J398" s="70"/>
      <c r="K398" s="70"/>
      <c r="L398" s="70"/>
      <c r="M398" s="70"/>
      <c r="N398" s="70"/>
      <c r="P398" s="71"/>
    </row>
    <row r="399" spans="2:16" x14ac:dyDescent="0.2">
      <c r="B399" s="68"/>
      <c r="C399" s="69"/>
      <c r="D399" s="69"/>
      <c r="E399" s="69"/>
      <c r="F399" s="69"/>
      <c r="G399" s="69"/>
      <c r="I399" s="70"/>
      <c r="J399" s="70"/>
      <c r="K399" s="70"/>
      <c r="L399" s="70"/>
      <c r="M399" s="70"/>
      <c r="N399" s="70"/>
      <c r="P399" s="71"/>
    </row>
    <row r="400" spans="2:16" x14ac:dyDescent="0.2">
      <c r="B400" s="68"/>
      <c r="C400" s="69"/>
      <c r="D400" s="69"/>
      <c r="E400" s="69"/>
      <c r="F400" s="69"/>
      <c r="G400" s="69"/>
      <c r="I400" s="70"/>
      <c r="J400" s="70"/>
      <c r="K400" s="70"/>
      <c r="L400" s="70"/>
      <c r="M400" s="70"/>
      <c r="N400" s="70"/>
      <c r="P400" s="71"/>
    </row>
    <row r="401" spans="2:16" x14ac:dyDescent="0.2">
      <c r="B401" s="68"/>
      <c r="C401" s="69"/>
      <c r="D401" s="69"/>
      <c r="E401" s="69"/>
      <c r="F401" s="69"/>
      <c r="G401" s="69"/>
      <c r="I401" s="70"/>
      <c r="J401" s="70"/>
      <c r="K401" s="70"/>
      <c r="L401" s="70"/>
      <c r="M401" s="70"/>
      <c r="N401" s="70"/>
      <c r="P401" s="71"/>
    </row>
    <row r="402" spans="2:16" x14ac:dyDescent="0.2">
      <c r="B402" s="68"/>
      <c r="C402" s="69"/>
      <c r="D402" s="69"/>
      <c r="E402" s="69"/>
      <c r="F402" s="69"/>
      <c r="G402" s="69"/>
      <c r="I402" s="70"/>
      <c r="J402" s="70"/>
      <c r="K402" s="70"/>
      <c r="L402" s="70"/>
      <c r="M402" s="70"/>
      <c r="N402" s="70"/>
      <c r="P402" s="71"/>
    </row>
    <row r="403" spans="2:16" x14ac:dyDescent="0.2">
      <c r="B403" s="68"/>
      <c r="C403" s="69"/>
      <c r="D403" s="69"/>
      <c r="E403" s="69"/>
      <c r="F403" s="69"/>
      <c r="G403" s="69"/>
      <c r="I403" s="70"/>
      <c r="J403" s="70"/>
      <c r="K403" s="70"/>
      <c r="L403" s="70"/>
      <c r="M403" s="70"/>
      <c r="N403" s="70"/>
      <c r="P403" s="71"/>
    </row>
    <row r="404" spans="2:16" x14ac:dyDescent="0.2">
      <c r="B404" s="68"/>
      <c r="C404" s="69"/>
      <c r="D404" s="69"/>
      <c r="E404" s="69"/>
      <c r="F404" s="69"/>
      <c r="G404" s="69"/>
      <c r="I404" s="70"/>
      <c r="J404" s="70"/>
      <c r="K404" s="70"/>
      <c r="L404" s="70"/>
      <c r="M404" s="70"/>
      <c r="N404" s="70"/>
      <c r="P404" s="71"/>
    </row>
    <row r="405" spans="2:16" x14ac:dyDescent="0.2">
      <c r="B405" s="68"/>
      <c r="C405" s="69"/>
      <c r="D405" s="69"/>
      <c r="E405" s="69"/>
      <c r="F405" s="69"/>
      <c r="G405" s="69"/>
      <c r="I405" s="70"/>
      <c r="J405" s="70"/>
      <c r="K405" s="70"/>
      <c r="L405" s="70"/>
      <c r="M405" s="70"/>
      <c r="N405" s="70"/>
      <c r="P405" s="71"/>
    </row>
    <row r="406" spans="2:16" x14ac:dyDescent="0.2">
      <c r="B406" s="68"/>
      <c r="C406" s="69"/>
      <c r="D406" s="69"/>
      <c r="E406" s="69"/>
      <c r="F406" s="69"/>
      <c r="G406" s="69"/>
      <c r="I406" s="70"/>
      <c r="J406" s="70"/>
      <c r="K406" s="70"/>
      <c r="L406" s="70"/>
      <c r="M406" s="70"/>
      <c r="N406" s="70"/>
      <c r="P406" s="71"/>
    </row>
    <row r="407" spans="2:16" x14ac:dyDescent="0.2">
      <c r="B407" s="68"/>
      <c r="C407" s="69"/>
      <c r="D407" s="69"/>
      <c r="E407" s="69"/>
      <c r="F407" s="69"/>
      <c r="G407" s="69"/>
      <c r="I407" s="70"/>
      <c r="J407" s="70"/>
      <c r="K407" s="70"/>
      <c r="L407" s="70"/>
      <c r="M407" s="70"/>
      <c r="N407" s="70"/>
      <c r="P407" s="71"/>
    </row>
    <row r="408" spans="2:16" x14ac:dyDescent="0.2">
      <c r="B408" s="68"/>
      <c r="C408" s="69"/>
      <c r="D408" s="69"/>
      <c r="E408" s="69"/>
      <c r="F408" s="69"/>
      <c r="G408" s="69"/>
      <c r="I408" s="70"/>
      <c r="J408" s="70"/>
      <c r="K408" s="70"/>
      <c r="L408" s="70"/>
      <c r="M408" s="70"/>
      <c r="N408" s="70"/>
      <c r="P408" s="71"/>
    </row>
    <row r="409" spans="2:16" x14ac:dyDescent="0.2">
      <c r="B409" s="68"/>
      <c r="C409" s="69"/>
      <c r="D409" s="69"/>
      <c r="E409" s="69"/>
      <c r="F409" s="69"/>
      <c r="G409" s="69"/>
      <c r="I409" s="70"/>
      <c r="J409" s="70"/>
      <c r="K409" s="70"/>
      <c r="L409" s="70"/>
      <c r="M409" s="70"/>
      <c r="N409" s="70"/>
      <c r="P409" s="71"/>
    </row>
    <row r="410" spans="2:16" x14ac:dyDescent="0.2">
      <c r="B410" s="68"/>
      <c r="C410" s="69"/>
      <c r="D410" s="69"/>
      <c r="E410" s="69"/>
      <c r="F410" s="69"/>
      <c r="G410" s="69"/>
      <c r="I410" s="70"/>
      <c r="J410" s="70"/>
      <c r="K410" s="70"/>
      <c r="L410" s="70"/>
      <c r="M410" s="70"/>
      <c r="N410" s="70"/>
      <c r="P410" s="71"/>
    </row>
    <row r="411" spans="2:16" x14ac:dyDescent="0.2">
      <c r="B411" s="68"/>
      <c r="C411" s="69"/>
      <c r="D411" s="69"/>
      <c r="E411" s="69"/>
      <c r="F411" s="69"/>
      <c r="G411" s="69"/>
      <c r="I411" s="70"/>
      <c r="J411" s="70"/>
      <c r="K411" s="70"/>
      <c r="L411" s="70"/>
      <c r="M411" s="70"/>
      <c r="N411" s="70"/>
      <c r="P411" s="71"/>
    </row>
    <row r="412" spans="2:16" x14ac:dyDescent="0.2">
      <c r="B412" s="68"/>
      <c r="C412" s="69"/>
      <c r="D412" s="69"/>
      <c r="E412" s="69"/>
      <c r="F412" s="69"/>
      <c r="G412" s="69"/>
      <c r="I412" s="70"/>
      <c r="J412" s="70"/>
      <c r="K412" s="70"/>
      <c r="L412" s="70"/>
      <c r="M412" s="70"/>
      <c r="N412" s="70"/>
      <c r="P412" s="71"/>
    </row>
    <row r="413" spans="2:16" x14ac:dyDescent="0.2">
      <c r="B413" s="68"/>
      <c r="C413" s="69"/>
      <c r="D413" s="69"/>
      <c r="E413" s="69"/>
      <c r="F413" s="69"/>
      <c r="G413" s="69"/>
      <c r="I413" s="70"/>
      <c r="J413" s="70"/>
      <c r="K413" s="70"/>
      <c r="L413" s="70"/>
      <c r="M413" s="70"/>
      <c r="N413" s="70"/>
      <c r="P413" s="71"/>
    </row>
    <row r="414" spans="2:16" x14ac:dyDescent="0.2">
      <c r="B414" s="68"/>
      <c r="C414" s="69"/>
      <c r="D414" s="69"/>
      <c r="E414" s="69"/>
      <c r="F414" s="69"/>
      <c r="G414" s="69"/>
      <c r="I414" s="70"/>
      <c r="J414" s="70"/>
      <c r="K414" s="70"/>
      <c r="L414" s="70"/>
      <c r="M414" s="70"/>
      <c r="N414" s="70"/>
      <c r="P414" s="71"/>
    </row>
    <row r="415" spans="2:16" x14ac:dyDescent="0.2">
      <c r="B415" s="68"/>
      <c r="C415" s="69"/>
      <c r="D415" s="69"/>
      <c r="E415" s="69"/>
      <c r="F415" s="69"/>
      <c r="G415" s="69"/>
      <c r="I415" s="70"/>
      <c r="J415" s="70"/>
      <c r="K415" s="70"/>
      <c r="L415" s="70"/>
      <c r="M415" s="70"/>
      <c r="N415" s="70"/>
      <c r="P415" s="71"/>
    </row>
    <row r="416" spans="2:16" x14ac:dyDescent="0.2">
      <c r="B416" s="68"/>
      <c r="C416" s="69"/>
      <c r="D416" s="69"/>
      <c r="E416" s="69"/>
      <c r="F416" s="69"/>
      <c r="G416" s="69"/>
      <c r="I416" s="70"/>
      <c r="J416" s="70"/>
      <c r="K416" s="70"/>
      <c r="L416" s="70"/>
      <c r="M416" s="70"/>
      <c r="N416" s="70"/>
      <c r="P416" s="71"/>
    </row>
    <row r="417" spans="2:16" x14ac:dyDescent="0.2">
      <c r="B417" s="68"/>
      <c r="C417" s="69"/>
      <c r="D417" s="69"/>
      <c r="E417" s="69"/>
      <c r="F417" s="69"/>
      <c r="G417" s="69"/>
      <c r="I417" s="70"/>
      <c r="J417" s="70"/>
      <c r="K417" s="70"/>
      <c r="L417" s="70"/>
      <c r="M417" s="70"/>
      <c r="N417" s="70"/>
      <c r="P417" s="71"/>
    </row>
    <row r="418" spans="2:16" x14ac:dyDescent="0.2">
      <c r="B418" s="68"/>
      <c r="C418" s="69"/>
      <c r="D418" s="69"/>
      <c r="E418" s="69"/>
      <c r="F418" s="69"/>
      <c r="G418" s="69"/>
      <c r="I418" s="70"/>
      <c r="J418" s="70"/>
      <c r="K418" s="70"/>
      <c r="L418" s="70"/>
      <c r="M418" s="70"/>
      <c r="N418" s="70"/>
      <c r="P418" s="71"/>
    </row>
    <row r="419" spans="2:16" x14ac:dyDescent="0.2">
      <c r="B419" s="68"/>
      <c r="C419" s="69"/>
      <c r="D419" s="69"/>
      <c r="E419" s="69"/>
      <c r="F419" s="69"/>
      <c r="G419" s="69"/>
      <c r="I419" s="70"/>
      <c r="J419" s="70"/>
      <c r="K419" s="70"/>
      <c r="L419" s="70"/>
      <c r="M419" s="70"/>
      <c r="N419" s="70"/>
      <c r="P419" s="71"/>
    </row>
    <row r="420" spans="2:16" x14ac:dyDescent="0.2">
      <c r="B420" s="68"/>
      <c r="C420" s="69"/>
      <c r="D420" s="69"/>
      <c r="E420" s="69"/>
      <c r="F420" s="69"/>
      <c r="G420" s="69"/>
      <c r="I420" s="70"/>
      <c r="J420" s="70"/>
      <c r="K420" s="70"/>
      <c r="L420" s="70"/>
      <c r="M420" s="70"/>
      <c r="N420" s="70"/>
      <c r="P420" s="71"/>
    </row>
    <row r="421" spans="2:16" x14ac:dyDescent="0.2">
      <c r="B421" s="68"/>
      <c r="C421" s="69"/>
      <c r="D421" s="69"/>
      <c r="E421" s="69"/>
      <c r="F421" s="69"/>
      <c r="G421" s="69"/>
      <c r="I421" s="70"/>
      <c r="J421" s="70"/>
      <c r="K421" s="70"/>
      <c r="L421" s="70"/>
      <c r="M421" s="70"/>
      <c r="N421" s="70"/>
      <c r="P421" s="71"/>
    </row>
    <row r="422" spans="2:16" x14ac:dyDescent="0.2">
      <c r="B422" s="68"/>
      <c r="C422" s="69"/>
      <c r="D422" s="69"/>
      <c r="E422" s="69"/>
      <c r="F422" s="69"/>
      <c r="G422" s="69"/>
      <c r="I422" s="70"/>
      <c r="J422" s="70"/>
      <c r="K422" s="70"/>
      <c r="L422" s="70"/>
      <c r="M422" s="70"/>
      <c r="N422" s="70"/>
      <c r="P422" s="71"/>
    </row>
    <row r="423" spans="2:16" x14ac:dyDescent="0.2">
      <c r="B423" s="68"/>
      <c r="C423" s="69"/>
      <c r="D423" s="69"/>
      <c r="E423" s="69"/>
      <c r="F423" s="69"/>
      <c r="G423" s="69"/>
      <c r="I423" s="70"/>
      <c r="J423" s="70"/>
      <c r="K423" s="70"/>
      <c r="L423" s="70"/>
      <c r="M423" s="70"/>
      <c r="N423" s="70"/>
      <c r="P423" s="71"/>
    </row>
    <row r="424" spans="2:16" x14ac:dyDescent="0.2">
      <c r="B424" s="68"/>
      <c r="C424" s="69"/>
      <c r="D424" s="69"/>
      <c r="E424" s="69"/>
      <c r="F424" s="69"/>
      <c r="G424" s="69"/>
      <c r="I424" s="70"/>
      <c r="J424" s="70"/>
      <c r="K424" s="70"/>
      <c r="L424" s="70"/>
      <c r="M424" s="70"/>
      <c r="N424" s="70"/>
      <c r="P424" s="71"/>
    </row>
    <row r="425" spans="2:16" x14ac:dyDescent="0.2">
      <c r="B425" s="68"/>
      <c r="C425" s="69"/>
      <c r="D425" s="69"/>
      <c r="E425" s="69"/>
      <c r="F425" s="69"/>
      <c r="G425" s="69"/>
      <c r="I425" s="70"/>
      <c r="J425" s="70"/>
      <c r="K425" s="70"/>
      <c r="L425" s="70"/>
      <c r="M425" s="70"/>
      <c r="N425" s="70"/>
      <c r="P425" s="71"/>
    </row>
    <row r="426" spans="2:16" x14ac:dyDescent="0.2">
      <c r="B426" s="68"/>
      <c r="C426" s="69"/>
      <c r="D426" s="69"/>
      <c r="E426" s="69"/>
      <c r="F426" s="69"/>
      <c r="G426" s="69"/>
      <c r="I426" s="70"/>
      <c r="J426" s="70"/>
      <c r="K426" s="70"/>
      <c r="L426" s="70"/>
      <c r="M426" s="70"/>
      <c r="N426" s="70"/>
      <c r="P426" s="71"/>
    </row>
    <row r="427" spans="2:16" x14ac:dyDescent="0.2">
      <c r="B427" s="68"/>
      <c r="C427" s="69"/>
      <c r="D427" s="69"/>
      <c r="E427" s="69"/>
      <c r="F427" s="69"/>
      <c r="G427" s="69"/>
      <c r="I427" s="70"/>
      <c r="J427" s="70"/>
      <c r="K427" s="70"/>
      <c r="L427" s="70"/>
      <c r="M427" s="70"/>
      <c r="N427" s="70"/>
      <c r="P427" s="71"/>
    </row>
    <row r="428" spans="2:16" x14ac:dyDescent="0.2">
      <c r="B428" s="68"/>
      <c r="C428" s="69"/>
      <c r="D428" s="69"/>
      <c r="E428" s="69"/>
      <c r="F428" s="69"/>
      <c r="G428" s="69"/>
      <c r="I428" s="70"/>
      <c r="J428" s="70"/>
      <c r="K428" s="70"/>
      <c r="L428" s="70"/>
      <c r="M428" s="70"/>
      <c r="N428" s="70"/>
      <c r="P428" s="71"/>
    </row>
    <row r="429" spans="2:16" x14ac:dyDescent="0.2">
      <c r="B429" s="68"/>
      <c r="C429" s="69"/>
      <c r="D429" s="69"/>
      <c r="E429" s="69"/>
      <c r="F429" s="69"/>
      <c r="G429" s="69"/>
      <c r="I429" s="70"/>
      <c r="J429" s="70"/>
      <c r="K429" s="70"/>
      <c r="L429" s="70"/>
      <c r="M429" s="70"/>
      <c r="N429" s="70"/>
      <c r="P429" s="71"/>
    </row>
    <row r="430" spans="2:16" x14ac:dyDescent="0.2">
      <c r="B430" s="68"/>
      <c r="C430" s="69"/>
      <c r="D430" s="69"/>
      <c r="E430" s="69"/>
      <c r="F430" s="69"/>
      <c r="G430" s="69"/>
      <c r="I430" s="70"/>
      <c r="J430" s="70"/>
      <c r="K430" s="70"/>
      <c r="L430" s="70"/>
      <c r="M430" s="70"/>
      <c r="N430" s="70"/>
      <c r="P430" s="71"/>
    </row>
    <row r="431" spans="2:16" x14ac:dyDescent="0.2">
      <c r="B431" s="68"/>
      <c r="C431" s="69"/>
      <c r="D431" s="69"/>
      <c r="E431" s="69"/>
      <c r="F431" s="69"/>
      <c r="G431" s="69"/>
      <c r="I431" s="70"/>
      <c r="J431" s="70"/>
      <c r="K431" s="70"/>
      <c r="L431" s="70"/>
      <c r="M431" s="70"/>
      <c r="N431" s="70"/>
      <c r="P431" s="71"/>
    </row>
    <row r="432" spans="2:16" x14ac:dyDescent="0.2">
      <c r="B432" s="68"/>
      <c r="C432" s="69"/>
      <c r="D432" s="69"/>
      <c r="E432" s="69"/>
      <c r="F432" s="69"/>
      <c r="G432" s="69"/>
      <c r="I432" s="70"/>
      <c r="J432" s="70"/>
      <c r="K432" s="70"/>
      <c r="L432" s="70"/>
      <c r="M432" s="70"/>
      <c r="N432" s="70"/>
      <c r="P432" s="71"/>
    </row>
    <row r="433" spans="2:16" x14ac:dyDescent="0.2">
      <c r="B433" s="68"/>
      <c r="C433" s="69"/>
      <c r="D433" s="69"/>
      <c r="E433" s="69"/>
      <c r="F433" s="69"/>
      <c r="G433" s="69"/>
      <c r="I433" s="70"/>
      <c r="J433" s="70"/>
      <c r="K433" s="70"/>
      <c r="L433" s="70"/>
      <c r="M433" s="70"/>
      <c r="N433" s="70"/>
      <c r="P433" s="71"/>
    </row>
    <row r="434" spans="2:16" x14ac:dyDescent="0.2">
      <c r="B434" s="68"/>
      <c r="C434" s="69"/>
      <c r="D434" s="69"/>
      <c r="E434" s="69"/>
      <c r="F434" s="69"/>
      <c r="G434" s="69"/>
      <c r="I434" s="70"/>
      <c r="J434" s="70"/>
      <c r="K434" s="70"/>
      <c r="L434" s="70"/>
      <c r="M434" s="70"/>
      <c r="N434" s="70"/>
      <c r="P434" s="71"/>
    </row>
    <row r="435" spans="2:16" x14ac:dyDescent="0.2">
      <c r="B435" s="68"/>
      <c r="C435" s="69"/>
      <c r="D435" s="69"/>
      <c r="E435" s="69"/>
      <c r="F435" s="69"/>
      <c r="G435" s="69"/>
      <c r="I435" s="70"/>
      <c r="J435" s="70"/>
      <c r="K435" s="70"/>
      <c r="L435" s="70"/>
      <c r="M435" s="70"/>
      <c r="N435" s="70"/>
      <c r="P435" s="71"/>
    </row>
    <row r="436" spans="2:16" x14ac:dyDescent="0.2">
      <c r="B436" s="68"/>
      <c r="C436" s="69"/>
      <c r="D436" s="69"/>
      <c r="E436" s="69"/>
      <c r="F436" s="69"/>
      <c r="G436" s="69"/>
      <c r="I436" s="70"/>
      <c r="J436" s="70"/>
      <c r="K436" s="70"/>
      <c r="L436" s="70"/>
      <c r="M436" s="70"/>
      <c r="N436" s="70"/>
      <c r="P436" s="71"/>
    </row>
    <row r="437" spans="2:16" x14ac:dyDescent="0.2">
      <c r="B437" s="68"/>
      <c r="C437" s="69"/>
      <c r="D437" s="69"/>
      <c r="E437" s="69"/>
      <c r="F437" s="69"/>
      <c r="G437" s="69"/>
      <c r="I437" s="70"/>
      <c r="J437" s="70"/>
      <c r="K437" s="70"/>
      <c r="L437" s="70"/>
      <c r="M437" s="70"/>
      <c r="N437" s="70"/>
      <c r="P437" s="71"/>
    </row>
    <row r="438" spans="2:16" x14ac:dyDescent="0.2">
      <c r="B438" s="68"/>
      <c r="C438" s="69"/>
      <c r="D438" s="69"/>
      <c r="E438" s="69"/>
      <c r="F438" s="69"/>
      <c r="G438" s="69"/>
      <c r="I438" s="70"/>
      <c r="J438" s="70"/>
      <c r="K438" s="70"/>
      <c r="L438" s="70"/>
      <c r="M438" s="70"/>
      <c r="N438" s="70"/>
      <c r="P438" s="71"/>
    </row>
    <row r="439" spans="2:16" x14ac:dyDescent="0.2">
      <c r="B439" s="68"/>
      <c r="C439" s="69"/>
      <c r="D439" s="69"/>
      <c r="E439" s="69"/>
      <c r="F439" s="69"/>
      <c r="G439" s="69"/>
      <c r="I439" s="70"/>
      <c r="J439" s="70"/>
      <c r="K439" s="70"/>
      <c r="L439" s="70"/>
      <c r="M439" s="70"/>
      <c r="N439" s="70"/>
      <c r="P439" s="71"/>
    </row>
    <row r="440" spans="2:16" x14ac:dyDescent="0.2">
      <c r="B440" s="68"/>
      <c r="C440" s="69"/>
      <c r="D440" s="69"/>
      <c r="E440" s="69"/>
      <c r="F440" s="69"/>
      <c r="G440" s="69"/>
      <c r="I440" s="70"/>
      <c r="J440" s="70"/>
      <c r="K440" s="70"/>
      <c r="L440" s="70"/>
      <c r="M440" s="70"/>
      <c r="N440" s="70"/>
      <c r="P440" s="71"/>
    </row>
    <row r="441" spans="2:16" x14ac:dyDescent="0.2">
      <c r="B441" s="68"/>
      <c r="C441" s="69"/>
      <c r="D441" s="69"/>
      <c r="E441" s="69"/>
      <c r="F441" s="69"/>
      <c r="G441" s="69"/>
      <c r="I441" s="70"/>
      <c r="J441" s="70"/>
      <c r="K441" s="70"/>
      <c r="L441" s="70"/>
      <c r="M441" s="70"/>
      <c r="N441" s="70"/>
      <c r="P441" s="71"/>
    </row>
    <row r="442" spans="2:16" x14ac:dyDescent="0.2">
      <c r="B442" s="68"/>
      <c r="C442" s="69"/>
      <c r="D442" s="69"/>
      <c r="E442" s="69"/>
      <c r="F442" s="69"/>
      <c r="G442" s="69"/>
      <c r="I442" s="70"/>
      <c r="J442" s="70"/>
      <c r="K442" s="70"/>
      <c r="L442" s="70"/>
      <c r="M442" s="70"/>
      <c r="N442" s="70"/>
      <c r="P442" s="71"/>
    </row>
    <row r="443" spans="2:16" x14ac:dyDescent="0.2">
      <c r="B443" s="68"/>
      <c r="C443" s="69"/>
      <c r="D443" s="69"/>
      <c r="E443" s="69"/>
      <c r="F443" s="69"/>
      <c r="G443" s="69"/>
      <c r="I443" s="70"/>
      <c r="J443" s="70"/>
      <c r="K443" s="70"/>
      <c r="L443" s="70"/>
      <c r="M443" s="70"/>
      <c r="N443" s="70"/>
      <c r="P443" s="71"/>
    </row>
    <row r="444" spans="2:16" x14ac:dyDescent="0.2">
      <c r="B444" s="68"/>
      <c r="C444" s="69"/>
      <c r="D444" s="69"/>
      <c r="E444" s="69"/>
      <c r="F444" s="69"/>
      <c r="G444" s="69"/>
      <c r="I444" s="70"/>
      <c r="J444" s="70"/>
      <c r="K444" s="70"/>
      <c r="L444" s="70"/>
      <c r="M444" s="70"/>
      <c r="N444" s="70"/>
      <c r="P444" s="71"/>
    </row>
    <row r="445" spans="2:16" x14ac:dyDescent="0.2">
      <c r="B445" s="68"/>
      <c r="C445" s="69"/>
      <c r="D445" s="69"/>
      <c r="E445" s="69"/>
      <c r="F445" s="69"/>
      <c r="G445" s="69"/>
      <c r="I445" s="70"/>
      <c r="J445" s="70"/>
      <c r="K445" s="70"/>
      <c r="L445" s="70"/>
      <c r="M445" s="70"/>
      <c r="N445" s="70"/>
      <c r="P445" s="71"/>
    </row>
    <row r="446" spans="2:16" x14ac:dyDescent="0.2">
      <c r="B446" s="68"/>
      <c r="C446" s="69"/>
      <c r="D446" s="69"/>
      <c r="E446" s="69"/>
      <c r="F446" s="69"/>
      <c r="G446" s="69"/>
      <c r="I446" s="70"/>
      <c r="J446" s="70"/>
      <c r="K446" s="70"/>
      <c r="L446" s="70"/>
      <c r="M446" s="70"/>
      <c r="N446" s="70"/>
      <c r="P446" s="71"/>
    </row>
    <row r="447" spans="2:16" x14ac:dyDescent="0.2">
      <c r="B447" s="68"/>
      <c r="C447" s="69"/>
      <c r="D447" s="69"/>
      <c r="E447" s="69"/>
      <c r="F447" s="69"/>
      <c r="G447" s="69"/>
      <c r="I447" s="70"/>
      <c r="J447" s="70"/>
      <c r="K447" s="70"/>
      <c r="L447" s="70"/>
      <c r="M447" s="70"/>
      <c r="N447" s="70"/>
      <c r="P447" s="71"/>
    </row>
    <row r="448" spans="2:16" x14ac:dyDescent="0.2">
      <c r="B448" s="68"/>
      <c r="C448" s="69"/>
      <c r="D448" s="69"/>
      <c r="E448" s="69"/>
      <c r="F448" s="69"/>
      <c r="G448" s="69"/>
      <c r="I448" s="70"/>
      <c r="J448" s="70"/>
      <c r="K448" s="70"/>
      <c r="L448" s="70"/>
      <c r="M448" s="70"/>
      <c r="N448" s="70"/>
      <c r="P448" s="71"/>
    </row>
    <row r="449" spans="2:16" x14ac:dyDescent="0.2">
      <c r="B449" s="68"/>
      <c r="C449" s="69"/>
      <c r="D449" s="69"/>
      <c r="E449" s="69"/>
      <c r="F449" s="69"/>
      <c r="G449" s="69"/>
      <c r="I449" s="70"/>
      <c r="J449" s="70"/>
      <c r="K449" s="70"/>
      <c r="L449" s="70"/>
      <c r="M449" s="70"/>
      <c r="N449" s="70"/>
      <c r="P449" s="71"/>
    </row>
    <row r="450" spans="2:16" x14ac:dyDescent="0.2">
      <c r="B450" s="68"/>
      <c r="C450" s="69"/>
      <c r="D450" s="69"/>
      <c r="E450" s="69"/>
      <c r="F450" s="69"/>
      <c r="G450" s="69"/>
      <c r="I450" s="70"/>
      <c r="J450" s="70"/>
      <c r="K450" s="70"/>
      <c r="L450" s="70"/>
      <c r="M450" s="70"/>
      <c r="N450" s="70"/>
      <c r="P450" s="71"/>
    </row>
    <row r="451" spans="2:16" x14ac:dyDescent="0.2">
      <c r="B451" s="68"/>
      <c r="C451" s="69"/>
      <c r="D451" s="69"/>
      <c r="E451" s="69"/>
      <c r="F451" s="69"/>
      <c r="G451" s="69"/>
      <c r="I451" s="70"/>
      <c r="J451" s="70"/>
      <c r="K451" s="70"/>
      <c r="L451" s="70"/>
      <c r="M451" s="70"/>
      <c r="N451" s="70"/>
      <c r="P451" s="71"/>
    </row>
    <row r="452" spans="2:16" x14ac:dyDescent="0.2">
      <c r="B452" s="68"/>
      <c r="C452" s="69"/>
      <c r="D452" s="69"/>
      <c r="E452" s="69"/>
      <c r="F452" s="69"/>
      <c r="G452" s="69"/>
      <c r="I452" s="70"/>
      <c r="J452" s="70"/>
      <c r="K452" s="70"/>
      <c r="L452" s="70"/>
      <c r="M452" s="70"/>
      <c r="N452" s="70"/>
      <c r="P452" s="71"/>
    </row>
    <row r="453" spans="2:16" x14ac:dyDescent="0.2">
      <c r="B453" s="68"/>
      <c r="C453" s="69"/>
      <c r="D453" s="69"/>
      <c r="E453" s="69"/>
      <c r="F453" s="69"/>
      <c r="G453" s="69"/>
      <c r="I453" s="70"/>
      <c r="J453" s="70"/>
      <c r="K453" s="70"/>
      <c r="L453" s="70"/>
      <c r="M453" s="70"/>
      <c r="N453" s="70"/>
      <c r="P453" s="71"/>
    </row>
    <row r="454" spans="2:16" x14ac:dyDescent="0.2">
      <c r="B454" s="68"/>
      <c r="C454" s="69"/>
      <c r="D454" s="69"/>
      <c r="E454" s="69"/>
      <c r="F454" s="69"/>
      <c r="G454" s="69"/>
      <c r="I454" s="70"/>
      <c r="J454" s="70"/>
      <c r="K454" s="70"/>
      <c r="L454" s="70"/>
      <c r="M454" s="70"/>
      <c r="N454" s="70"/>
      <c r="P454" s="71"/>
    </row>
    <row r="455" spans="2:16" x14ac:dyDescent="0.2">
      <c r="B455" s="68"/>
      <c r="C455" s="69"/>
      <c r="D455" s="69"/>
      <c r="E455" s="69"/>
      <c r="F455" s="69"/>
      <c r="G455" s="69"/>
      <c r="I455" s="70"/>
      <c r="J455" s="70"/>
      <c r="K455" s="70"/>
      <c r="L455" s="70"/>
      <c r="M455" s="70"/>
      <c r="N455" s="70"/>
      <c r="P455" s="71"/>
    </row>
    <row r="456" spans="2:16" x14ac:dyDescent="0.2">
      <c r="B456" s="68"/>
      <c r="C456" s="69"/>
      <c r="D456" s="69"/>
      <c r="E456" s="69"/>
      <c r="F456" s="69"/>
      <c r="G456" s="69"/>
      <c r="I456" s="70"/>
      <c r="J456" s="70"/>
      <c r="K456" s="70"/>
      <c r="L456" s="70"/>
      <c r="M456" s="70"/>
      <c r="N456" s="70"/>
      <c r="P456" s="71"/>
    </row>
    <row r="457" spans="2:16" x14ac:dyDescent="0.2">
      <c r="B457" s="68"/>
      <c r="C457" s="69"/>
      <c r="D457" s="69"/>
      <c r="E457" s="69"/>
      <c r="F457" s="69"/>
      <c r="G457" s="69"/>
      <c r="I457" s="70"/>
      <c r="J457" s="70"/>
      <c r="K457" s="70"/>
      <c r="L457" s="70"/>
      <c r="M457" s="70"/>
      <c r="N457" s="70"/>
      <c r="P457" s="71"/>
    </row>
    <row r="458" spans="2:16" x14ac:dyDescent="0.2">
      <c r="B458" s="68"/>
      <c r="C458" s="69"/>
      <c r="D458" s="69"/>
      <c r="E458" s="69"/>
      <c r="F458" s="69"/>
      <c r="G458" s="69"/>
      <c r="I458" s="70"/>
      <c r="J458" s="70"/>
      <c r="K458" s="70"/>
      <c r="L458" s="70"/>
      <c r="M458" s="70"/>
      <c r="N458" s="70"/>
      <c r="P458" s="71"/>
    </row>
    <row r="459" spans="2:16" x14ac:dyDescent="0.2">
      <c r="B459" s="68"/>
      <c r="C459" s="69"/>
      <c r="D459" s="69"/>
      <c r="E459" s="69"/>
      <c r="F459" s="69"/>
      <c r="G459" s="69"/>
      <c r="I459" s="70"/>
      <c r="J459" s="70"/>
      <c r="K459" s="70"/>
      <c r="L459" s="70"/>
      <c r="M459" s="70"/>
      <c r="N459" s="70"/>
      <c r="P459" s="71"/>
    </row>
    <row r="460" spans="2:16" x14ac:dyDescent="0.2">
      <c r="B460" s="68"/>
      <c r="C460" s="69"/>
      <c r="D460" s="69"/>
      <c r="E460" s="69"/>
      <c r="F460" s="69"/>
      <c r="G460" s="69"/>
      <c r="I460" s="70"/>
      <c r="J460" s="70"/>
      <c r="K460" s="70"/>
      <c r="L460" s="70"/>
      <c r="M460" s="70"/>
      <c r="N460" s="70"/>
      <c r="P460" s="71"/>
    </row>
    <row r="461" spans="2:16" x14ac:dyDescent="0.2">
      <c r="B461" s="68"/>
      <c r="C461" s="69"/>
      <c r="D461" s="69"/>
      <c r="E461" s="69"/>
      <c r="F461" s="69"/>
      <c r="G461" s="69"/>
      <c r="I461" s="70"/>
      <c r="J461" s="70"/>
      <c r="K461" s="70"/>
      <c r="L461" s="70"/>
      <c r="M461" s="70"/>
      <c r="N461" s="70"/>
      <c r="P461" s="71"/>
    </row>
    <row r="462" spans="2:16" x14ac:dyDescent="0.2">
      <c r="B462" s="68"/>
      <c r="C462" s="69"/>
      <c r="D462" s="69"/>
      <c r="E462" s="69"/>
      <c r="F462" s="69"/>
      <c r="G462" s="69"/>
      <c r="I462" s="70"/>
      <c r="J462" s="70"/>
      <c r="K462" s="70"/>
      <c r="L462" s="70"/>
      <c r="M462" s="70"/>
      <c r="N462" s="70"/>
      <c r="P462" s="71"/>
    </row>
    <row r="463" spans="2:16" x14ac:dyDescent="0.2">
      <c r="B463" s="68"/>
      <c r="C463" s="69"/>
      <c r="D463" s="69"/>
      <c r="E463" s="69"/>
      <c r="F463" s="69"/>
      <c r="G463" s="69"/>
      <c r="I463" s="70"/>
      <c r="J463" s="70"/>
      <c r="K463" s="70"/>
      <c r="L463" s="70"/>
      <c r="M463" s="70"/>
      <c r="N463" s="70"/>
      <c r="P463" s="71"/>
    </row>
    <row r="464" spans="2:16" x14ac:dyDescent="0.2">
      <c r="B464" s="68"/>
      <c r="C464" s="69"/>
      <c r="D464" s="69"/>
      <c r="E464" s="69"/>
      <c r="F464" s="69"/>
      <c r="G464" s="69"/>
      <c r="I464" s="70"/>
      <c r="J464" s="70"/>
      <c r="K464" s="70"/>
      <c r="L464" s="70"/>
      <c r="M464" s="70"/>
      <c r="N464" s="70"/>
      <c r="P464" s="71"/>
    </row>
    <row r="465" spans="2:16" x14ac:dyDescent="0.2">
      <c r="B465" s="68"/>
      <c r="C465" s="69"/>
      <c r="D465" s="69"/>
      <c r="E465" s="69"/>
      <c r="F465" s="69"/>
      <c r="G465" s="69"/>
      <c r="I465" s="70"/>
      <c r="J465" s="70"/>
      <c r="K465" s="70"/>
      <c r="L465" s="70"/>
      <c r="M465" s="70"/>
      <c r="N465" s="70"/>
      <c r="P465" s="71"/>
    </row>
    <row r="466" spans="2:16" x14ac:dyDescent="0.2">
      <c r="B466" s="68"/>
      <c r="C466" s="69"/>
      <c r="D466" s="69"/>
      <c r="E466" s="69"/>
      <c r="F466" s="69"/>
      <c r="G466" s="69"/>
      <c r="I466" s="70"/>
      <c r="J466" s="70"/>
      <c r="K466" s="70"/>
      <c r="L466" s="70"/>
      <c r="M466" s="70"/>
      <c r="N466" s="70"/>
      <c r="P466" s="71"/>
    </row>
    <row r="467" spans="2:16" x14ac:dyDescent="0.2">
      <c r="B467" s="68"/>
      <c r="C467" s="69"/>
      <c r="D467" s="69"/>
      <c r="E467" s="69"/>
      <c r="F467" s="69"/>
      <c r="G467" s="69"/>
      <c r="I467" s="70"/>
      <c r="J467" s="70"/>
      <c r="K467" s="70"/>
      <c r="L467" s="70"/>
      <c r="M467" s="70"/>
      <c r="N467" s="70"/>
      <c r="P467" s="71"/>
    </row>
    <row r="468" spans="2:16" x14ac:dyDescent="0.2">
      <c r="B468" s="68"/>
      <c r="C468" s="69"/>
      <c r="D468" s="69"/>
      <c r="E468" s="69"/>
      <c r="F468" s="69"/>
      <c r="G468" s="69"/>
      <c r="I468" s="70"/>
      <c r="J468" s="70"/>
      <c r="K468" s="70"/>
      <c r="L468" s="70"/>
      <c r="M468" s="70"/>
      <c r="N468" s="70"/>
      <c r="P468" s="71"/>
    </row>
    <row r="469" spans="2:16" x14ac:dyDescent="0.2">
      <c r="B469" s="68"/>
      <c r="C469" s="69"/>
      <c r="D469" s="69"/>
      <c r="E469" s="69"/>
      <c r="F469" s="69"/>
      <c r="G469" s="69"/>
      <c r="I469" s="70"/>
      <c r="J469" s="70"/>
      <c r="K469" s="70"/>
      <c r="L469" s="70"/>
      <c r="M469" s="70"/>
      <c r="N469" s="70"/>
      <c r="P469" s="71"/>
    </row>
    <row r="470" spans="2:16" x14ac:dyDescent="0.2">
      <c r="B470" s="68"/>
      <c r="C470" s="69"/>
      <c r="D470" s="69"/>
      <c r="E470" s="69"/>
      <c r="F470" s="69"/>
      <c r="G470" s="69"/>
      <c r="I470" s="70"/>
      <c r="J470" s="70"/>
      <c r="K470" s="70"/>
      <c r="L470" s="70"/>
      <c r="M470" s="70"/>
      <c r="N470" s="70"/>
      <c r="P470" s="71"/>
    </row>
    <row r="471" spans="2:16" x14ac:dyDescent="0.2">
      <c r="B471" s="68"/>
      <c r="C471" s="69"/>
      <c r="D471" s="69"/>
      <c r="E471" s="69"/>
      <c r="F471" s="69"/>
      <c r="G471" s="69"/>
      <c r="I471" s="70"/>
      <c r="J471" s="70"/>
      <c r="K471" s="70"/>
      <c r="L471" s="70"/>
      <c r="M471" s="70"/>
      <c r="N471" s="70"/>
      <c r="P471" s="71"/>
    </row>
    <row r="472" spans="2:16" x14ac:dyDescent="0.2">
      <c r="B472" s="68"/>
      <c r="C472" s="69"/>
      <c r="D472" s="69"/>
      <c r="E472" s="69"/>
      <c r="F472" s="69"/>
      <c r="G472" s="69"/>
      <c r="I472" s="70"/>
      <c r="J472" s="70"/>
      <c r="K472" s="70"/>
      <c r="L472" s="70"/>
      <c r="M472" s="70"/>
      <c r="N472" s="70"/>
      <c r="P472" s="71"/>
    </row>
    <row r="473" spans="2:16" x14ac:dyDescent="0.2">
      <c r="B473" s="68"/>
      <c r="C473" s="69"/>
      <c r="D473" s="69"/>
      <c r="E473" s="69"/>
      <c r="F473" s="69"/>
      <c r="G473" s="69"/>
      <c r="I473" s="70"/>
      <c r="J473" s="70"/>
      <c r="K473" s="70"/>
      <c r="L473" s="70"/>
      <c r="M473" s="70"/>
      <c r="N473" s="70"/>
      <c r="P473" s="71"/>
    </row>
    <row r="474" spans="2:16" x14ac:dyDescent="0.2">
      <c r="B474" s="68"/>
      <c r="C474" s="69"/>
      <c r="D474" s="69"/>
      <c r="E474" s="69"/>
      <c r="F474" s="69"/>
      <c r="G474" s="69"/>
      <c r="I474" s="70"/>
      <c r="J474" s="70"/>
      <c r="K474" s="70"/>
      <c r="L474" s="70"/>
      <c r="M474" s="70"/>
      <c r="N474" s="70"/>
      <c r="P474" s="71"/>
    </row>
    <row r="475" spans="2:16" x14ac:dyDescent="0.2">
      <c r="B475" s="68"/>
      <c r="C475" s="69"/>
      <c r="D475" s="69"/>
      <c r="E475" s="69"/>
      <c r="F475" s="69"/>
      <c r="G475" s="69"/>
      <c r="I475" s="70"/>
      <c r="J475" s="70"/>
      <c r="K475" s="70"/>
      <c r="L475" s="70"/>
      <c r="M475" s="70"/>
      <c r="N475" s="70"/>
      <c r="P475" s="71"/>
    </row>
    <row r="476" spans="2:16" x14ac:dyDescent="0.2">
      <c r="B476" s="68"/>
      <c r="C476" s="69"/>
      <c r="D476" s="69"/>
      <c r="E476" s="69"/>
      <c r="F476" s="69"/>
      <c r="G476" s="69"/>
      <c r="I476" s="70"/>
      <c r="J476" s="70"/>
      <c r="K476" s="70"/>
      <c r="L476" s="70"/>
      <c r="M476" s="70"/>
      <c r="N476" s="70"/>
      <c r="P476" s="71"/>
    </row>
    <row r="477" spans="2:16" x14ac:dyDescent="0.2">
      <c r="B477" s="68"/>
      <c r="C477" s="69"/>
      <c r="D477" s="69"/>
      <c r="E477" s="69"/>
      <c r="F477" s="69"/>
      <c r="G477" s="69"/>
      <c r="I477" s="70"/>
      <c r="J477" s="70"/>
      <c r="K477" s="70"/>
      <c r="L477" s="70"/>
      <c r="M477" s="70"/>
      <c r="N477" s="70"/>
      <c r="P477" s="71"/>
    </row>
    <row r="478" spans="2:16" x14ac:dyDescent="0.2">
      <c r="B478" s="68"/>
      <c r="C478" s="69"/>
      <c r="D478" s="69"/>
      <c r="E478" s="69"/>
      <c r="F478" s="69"/>
      <c r="G478" s="69"/>
      <c r="I478" s="70"/>
      <c r="J478" s="70"/>
      <c r="K478" s="70"/>
      <c r="L478" s="70"/>
      <c r="M478" s="70"/>
      <c r="N478" s="70"/>
      <c r="P478" s="71"/>
    </row>
    <row r="479" spans="2:16" x14ac:dyDescent="0.2">
      <c r="B479" s="68"/>
      <c r="C479" s="69"/>
      <c r="D479" s="69"/>
      <c r="E479" s="69"/>
      <c r="F479" s="69"/>
      <c r="G479" s="69"/>
      <c r="I479" s="70"/>
      <c r="J479" s="70"/>
      <c r="K479" s="70"/>
      <c r="L479" s="70"/>
      <c r="M479" s="70"/>
      <c r="N479" s="70"/>
      <c r="P479" s="71"/>
    </row>
    <row r="480" spans="2:16" x14ac:dyDescent="0.2">
      <c r="B480" s="68"/>
      <c r="C480" s="69"/>
      <c r="D480" s="69"/>
      <c r="E480" s="69"/>
      <c r="F480" s="69"/>
      <c r="G480" s="69"/>
      <c r="I480" s="70"/>
      <c r="J480" s="70"/>
      <c r="K480" s="70"/>
      <c r="L480" s="70"/>
      <c r="M480" s="70"/>
      <c r="N480" s="70"/>
      <c r="P480" s="71"/>
    </row>
    <row r="481" spans="2:16" x14ac:dyDescent="0.2">
      <c r="B481" s="68"/>
      <c r="C481" s="69"/>
      <c r="D481" s="69"/>
      <c r="E481" s="69"/>
      <c r="F481" s="69"/>
      <c r="G481" s="69"/>
      <c r="I481" s="70"/>
      <c r="J481" s="70"/>
      <c r="K481" s="70"/>
      <c r="L481" s="70"/>
      <c r="M481" s="70"/>
      <c r="N481" s="70"/>
      <c r="P481" s="71"/>
    </row>
    <row r="482" spans="2:16" x14ac:dyDescent="0.2">
      <c r="B482" s="68"/>
      <c r="C482" s="69"/>
      <c r="D482" s="69"/>
      <c r="E482" s="69"/>
      <c r="F482" s="69"/>
      <c r="G482" s="69"/>
      <c r="I482" s="70"/>
      <c r="J482" s="70"/>
      <c r="K482" s="70"/>
      <c r="L482" s="70"/>
      <c r="M482" s="70"/>
      <c r="N482" s="70"/>
      <c r="P482" s="71"/>
    </row>
    <row r="483" spans="2:16" x14ac:dyDescent="0.2">
      <c r="B483" s="68"/>
      <c r="C483" s="69"/>
      <c r="D483" s="69"/>
      <c r="E483" s="69"/>
      <c r="F483" s="69"/>
      <c r="G483" s="69"/>
      <c r="I483" s="70"/>
      <c r="J483" s="70"/>
      <c r="K483" s="70"/>
      <c r="L483" s="70"/>
      <c r="M483" s="70"/>
      <c r="N483" s="70"/>
      <c r="P483" s="71"/>
    </row>
    <row r="484" spans="2:16" x14ac:dyDescent="0.2">
      <c r="B484" s="68"/>
      <c r="C484" s="69"/>
      <c r="D484" s="69"/>
      <c r="E484" s="69"/>
      <c r="F484" s="69"/>
      <c r="G484" s="69"/>
      <c r="I484" s="70"/>
      <c r="J484" s="70"/>
      <c r="K484" s="70"/>
      <c r="L484" s="70"/>
      <c r="M484" s="70"/>
      <c r="N484" s="70"/>
      <c r="P484" s="71"/>
    </row>
    <row r="485" spans="2:16" x14ac:dyDescent="0.2">
      <c r="B485" s="68"/>
      <c r="C485" s="69"/>
      <c r="D485" s="69"/>
      <c r="E485" s="69"/>
      <c r="F485" s="69"/>
      <c r="G485" s="69"/>
      <c r="I485" s="70"/>
      <c r="J485" s="70"/>
      <c r="K485" s="70"/>
      <c r="L485" s="70"/>
      <c r="M485" s="70"/>
      <c r="N485" s="70"/>
      <c r="P485" s="71"/>
    </row>
    <row r="486" spans="2:16" x14ac:dyDescent="0.2">
      <c r="B486" s="68"/>
      <c r="C486" s="69"/>
      <c r="D486" s="69"/>
      <c r="E486" s="69"/>
      <c r="F486" s="69"/>
      <c r="G486" s="69"/>
      <c r="I486" s="70"/>
      <c r="J486" s="70"/>
      <c r="K486" s="70"/>
      <c r="L486" s="70"/>
      <c r="M486" s="70"/>
      <c r="N486" s="70"/>
      <c r="P486" s="71"/>
    </row>
    <row r="487" spans="2:16" x14ac:dyDescent="0.2">
      <c r="B487" s="68"/>
      <c r="C487" s="69"/>
      <c r="D487" s="69"/>
      <c r="E487" s="69"/>
      <c r="F487" s="69"/>
      <c r="G487" s="69"/>
      <c r="I487" s="70"/>
      <c r="J487" s="70"/>
      <c r="K487" s="70"/>
      <c r="L487" s="70"/>
      <c r="M487" s="70"/>
      <c r="N487" s="70"/>
      <c r="P487" s="71"/>
    </row>
    <row r="488" spans="2:16" x14ac:dyDescent="0.2">
      <c r="B488" s="68"/>
      <c r="C488" s="69"/>
      <c r="D488" s="69"/>
      <c r="E488" s="69"/>
      <c r="F488" s="69"/>
      <c r="G488" s="69"/>
      <c r="I488" s="70"/>
      <c r="J488" s="70"/>
      <c r="K488" s="70"/>
      <c r="L488" s="70"/>
      <c r="M488" s="70"/>
      <c r="N488" s="70"/>
      <c r="P488" s="71"/>
    </row>
    <row r="489" spans="2:16" x14ac:dyDescent="0.2">
      <c r="B489" s="68"/>
      <c r="C489" s="69"/>
      <c r="D489" s="69"/>
      <c r="E489" s="69"/>
      <c r="F489" s="69"/>
      <c r="G489" s="69"/>
      <c r="I489" s="70"/>
      <c r="J489" s="70"/>
      <c r="K489" s="70"/>
      <c r="L489" s="70"/>
      <c r="M489" s="70"/>
      <c r="N489" s="70"/>
      <c r="P489" s="71"/>
    </row>
    <row r="490" spans="2:16" x14ac:dyDescent="0.2">
      <c r="B490" s="68"/>
      <c r="C490" s="69"/>
      <c r="D490" s="69"/>
      <c r="E490" s="69"/>
      <c r="F490" s="69"/>
      <c r="G490" s="69"/>
      <c r="I490" s="70"/>
      <c r="J490" s="70"/>
      <c r="K490" s="70"/>
      <c r="L490" s="70"/>
      <c r="M490" s="70"/>
      <c r="N490" s="70"/>
      <c r="P490" s="71"/>
    </row>
    <row r="491" spans="2:16" x14ac:dyDescent="0.2">
      <c r="B491" s="68"/>
      <c r="C491" s="69"/>
      <c r="D491" s="69"/>
      <c r="E491" s="69"/>
      <c r="F491" s="69"/>
      <c r="G491" s="69"/>
      <c r="I491" s="70"/>
      <c r="J491" s="70"/>
      <c r="K491" s="70"/>
      <c r="L491" s="70"/>
      <c r="M491" s="70"/>
      <c r="N491" s="70"/>
      <c r="P491" s="71"/>
    </row>
    <row r="492" spans="2:16" x14ac:dyDescent="0.2">
      <c r="B492" s="68"/>
      <c r="C492" s="69"/>
      <c r="D492" s="69"/>
      <c r="E492" s="69"/>
      <c r="F492" s="69"/>
      <c r="G492" s="69"/>
      <c r="I492" s="70"/>
      <c r="J492" s="70"/>
      <c r="K492" s="70"/>
      <c r="L492" s="70"/>
      <c r="M492" s="70"/>
      <c r="N492" s="70"/>
      <c r="P492" s="71"/>
    </row>
    <row r="493" spans="2:16" x14ac:dyDescent="0.2">
      <c r="B493" s="68"/>
      <c r="C493" s="69"/>
      <c r="D493" s="69"/>
      <c r="E493" s="69"/>
      <c r="F493" s="69"/>
      <c r="G493" s="69"/>
      <c r="I493" s="70"/>
      <c r="J493" s="70"/>
      <c r="K493" s="70"/>
      <c r="L493" s="70"/>
      <c r="M493" s="70"/>
      <c r="N493" s="70"/>
      <c r="P493" s="71"/>
    </row>
    <row r="494" spans="2:16" x14ac:dyDescent="0.2">
      <c r="B494" s="68"/>
      <c r="C494" s="69"/>
      <c r="D494" s="69"/>
      <c r="E494" s="69"/>
      <c r="F494" s="69"/>
      <c r="G494" s="69"/>
      <c r="I494" s="70"/>
      <c r="J494" s="70"/>
      <c r="K494" s="70"/>
      <c r="L494" s="70"/>
      <c r="M494" s="70"/>
      <c r="N494" s="70"/>
      <c r="P494" s="71"/>
    </row>
    <row r="495" spans="2:16" x14ac:dyDescent="0.2">
      <c r="B495" s="68"/>
      <c r="C495" s="69"/>
      <c r="D495" s="69"/>
      <c r="E495" s="69"/>
      <c r="F495" s="69"/>
      <c r="G495" s="69"/>
      <c r="I495" s="70"/>
      <c r="J495" s="70"/>
      <c r="K495" s="70"/>
      <c r="L495" s="70"/>
      <c r="M495" s="70"/>
      <c r="N495" s="70"/>
      <c r="P495" s="71"/>
    </row>
    <row r="496" spans="2:16" x14ac:dyDescent="0.2">
      <c r="B496" s="68"/>
      <c r="C496" s="69"/>
      <c r="D496" s="69"/>
      <c r="E496" s="69"/>
      <c r="F496" s="69"/>
      <c r="G496" s="69"/>
      <c r="I496" s="70"/>
      <c r="J496" s="70"/>
      <c r="K496" s="70"/>
      <c r="L496" s="70"/>
      <c r="M496" s="70"/>
      <c r="N496" s="70"/>
      <c r="P496" s="71"/>
    </row>
    <row r="497" spans="2:16" x14ac:dyDescent="0.2">
      <c r="B497" s="68"/>
      <c r="C497" s="69"/>
      <c r="D497" s="69"/>
      <c r="E497" s="69"/>
      <c r="F497" s="69"/>
      <c r="G497" s="69"/>
      <c r="I497" s="70"/>
      <c r="J497" s="70"/>
      <c r="K497" s="70"/>
      <c r="L497" s="70"/>
      <c r="M497" s="70"/>
      <c r="N497" s="70"/>
      <c r="P497" s="71"/>
    </row>
    <row r="498" spans="2:16" x14ac:dyDescent="0.2">
      <c r="B498" s="68"/>
      <c r="C498" s="69"/>
      <c r="D498" s="69"/>
      <c r="E498" s="69"/>
      <c r="F498" s="69"/>
      <c r="G498" s="69"/>
      <c r="I498" s="70"/>
      <c r="J498" s="70"/>
      <c r="K498" s="70"/>
      <c r="L498" s="70"/>
      <c r="M498" s="70"/>
      <c r="N498" s="70"/>
      <c r="P498" s="71"/>
    </row>
    <row r="499" spans="2:16" x14ac:dyDescent="0.2">
      <c r="B499" s="68"/>
      <c r="C499" s="69"/>
      <c r="D499" s="69"/>
      <c r="E499" s="69"/>
      <c r="F499" s="69"/>
      <c r="G499" s="69"/>
      <c r="I499" s="70"/>
      <c r="J499" s="70"/>
      <c r="K499" s="70"/>
      <c r="L499" s="70"/>
      <c r="M499" s="70"/>
      <c r="N499" s="70"/>
      <c r="P499" s="71"/>
    </row>
    <row r="500" spans="2:16" x14ac:dyDescent="0.2">
      <c r="B500" s="68"/>
      <c r="C500" s="69"/>
      <c r="D500" s="69"/>
      <c r="E500" s="69"/>
      <c r="F500" s="69"/>
      <c r="G500" s="69"/>
      <c r="I500" s="70"/>
      <c r="J500" s="70"/>
      <c r="K500" s="70"/>
      <c r="L500" s="70"/>
      <c r="M500" s="70"/>
      <c r="N500" s="70"/>
      <c r="P500" s="71"/>
    </row>
    <row r="501" spans="2:16" x14ac:dyDescent="0.2">
      <c r="B501" s="68"/>
      <c r="C501" s="69"/>
      <c r="D501" s="69"/>
      <c r="E501" s="69"/>
      <c r="F501" s="69"/>
      <c r="G501" s="69"/>
      <c r="I501" s="70"/>
      <c r="J501" s="70"/>
      <c r="K501" s="70"/>
      <c r="L501" s="70"/>
      <c r="M501" s="70"/>
      <c r="N501" s="70"/>
      <c r="P501" s="71"/>
    </row>
    <row r="502" spans="2:16" x14ac:dyDescent="0.2">
      <c r="B502" s="68"/>
      <c r="C502" s="69"/>
      <c r="D502" s="69"/>
      <c r="E502" s="69"/>
      <c r="F502" s="69"/>
      <c r="G502" s="69"/>
      <c r="I502" s="70"/>
      <c r="J502" s="70"/>
      <c r="K502" s="70"/>
      <c r="L502" s="70"/>
      <c r="M502" s="70"/>
      <c r="N502" s="70"/>
      <c r="P502" s="71"/>
    </row>
    <row r="503" spans="2:16" x14ac:dyDescent="0.2">
      <c r="B503" s="68"/>
      <c r="C503" s="69"/>
      <c r="D503" s="69"/>
      <c r="E503" s="69"/>
      <c r="F503" s="69"/>
      <c r="G503" s="69"/>
      <c r="I503" s="70"/>
      <c r="J503" s="70"/>
      <c r="K503" s="70"/>
      <c r="L503" s="70"/>
      <c r="M503" s="70"/>
      <c r="N503" s="70"/>
      <c r="P503" s="71"/>
    </row>
    <row r="504" spans="2:16" x14ac:dyDescent="0.2">
      <c r="B504" s="68"/>
      <c r="C504" s="69"/>
      <c r="D504" s="69"/>
      <c r="E504" s="69"/>
      <c r="F504" s="69"/>
      <c r="G504" s="69"/>
      <c r="I504" s="70"/>
      <c r="J504" s="70"/>
      <c r="K504" s="70"/>
      <c r="L504" s="70"/>
      <c r="M504" s="70"/>
      <c r="N504" s="70"/>
      <c r="P504" s="71"/>
    </row>
    <row r="505" spans="2:16" x14ac:dyDescent="0.2">
      <c r="B505" s="68"/>
      <c r="C505" s="69"/>
      <c r="D505" s="69"/>
      <c r="E505" s="69"/>
      <c r="F505" s="69"/>
      <c r="G505" s="69"/>
      <c r="I505" s="70"/>
      <c r="J505" s="70"/>
      <c r="K505" s="70"/>
      <c r="L505" s="70"/>
      <c r="M505" s="70"/>
      <c r="N505" s="70"/>
      <c r="P505" s="71"/>
    </row>
    <row r="506" spans="2:16" x14ac:dyDescent="0.2">
      <c r="B506" s="68"/>
      <c r="C506" s="69"/>
      <c r="D506" s="69"/>
      <c r="E506" s="69"/>
      <c r="F506" s="69"/>
      <c r="G506" s="69"/>
      <c r="I506" s="70"/>
      <c r="J506" s="70"/>
      <c r="K506" s="70"/>
      <c r="L506" s="70"/>
      <c r="M506" s="70"/>
      <c r="N506" s="70"/>
      <c r="P506" s="71"/>
    </row>
    <row r="507" spans="2:16" x14ac:dyDescent="0.2">
      <c r="B507" s="68"/>
      <c r="C507" s="69"/>
      <c r="D507" s="69"/>
      <c r="E507" s="69"/>
      <c r="F507" s="69"/>
      <c r="G507" s="69"/>
      <c r="I507" s="70"/>
      <c r="J507" s="70"/>
      <c r="K507" s="70"/>
      <c r="L507" s="70"/>
      <c r="M507" s="70"/>
      <c r="N507" s="70"/>
      <c r="P507" s="71"/>
    </row>
    <row r="508" spans="2:16" x14ac:dyDescent="0.2">
      <c r="B508" s="68"/>
      <c r="C508" s="69"/>
      <c r="D508" s="69"/>
      <c r="E508" s="69"/>
      <c r="F508" s="69"/>
      <c r="G508" s="69"/>
      <c r="I508" s="70"/>
      <c r="J508" s="70"/>
      <c r="K508" s="70"/>
      <c r="L508" s="70"/>
      <c r="M508" s="70"/>
      <c r="N508" s="70"/>
      <c r="P508" s="71"/>
    </row>
    <row r="509" spans="2:16" x14ac:dyDescent="0.2">
      <c r="B509" s="68"/>
      <c r="C509" s="69"/>
      <c r="D509" s="69"/>
      <c r="E509" s="69"/>
      <c r="F509" s="69"/>
      <c r="G509" s="69"/>
      <c r="I509" s="70"/>
      <c r="J509" s="70"/>
      <c r="K509" s="70"/>
      <c r="L509" s="70"/>
      <c r="M509" s="70"/>
      <c r="N509" s="70"/>
      <c r="P509" s="71"/>
    </row>
    <row r="510" spans="2:16" x14ac:dyDescent="0.2">
      <c r="B510" s="68"/>
      <c r="C510" s="69"/>
      <c r="D510" s="69"/>
      <c r="E510" s="69"/>
      <c r="F510" s="69"/>
      <c r="G510" s="69"/>
      <c r="I510" s="70"/>
      <c r="J510" s="70"/>
      <c r="K510" s="70"/>
      <c r="L510" s="70"/>
      <c r="M510" s="70"/>
      <c r="N510" s="70"/>
      <c r="P510" s="71"/>
    </row>
    <row r="511" spans="2:16" x14ac:dyDescent="0.2">
      <c r="B511" s="68"/>
      <c r="C511" s="69"/>
      <c r="D511" s="69"/>
      <c r="E511" s="69"/>
      <c r="F511" s="69"/>
      <c r="G511" s="69"/>
      <c r="I511" s="70"/>
      <c r="J511" s="70"/>
      <c r="K511" s="70"/>
      <c r="L511" s="70"/>
      <c r="M511" s="70"/>
      <c r="N511" s="70"/>
      <c r="P511" s="71"/>
    </row>
    <row r="512" spans="2:16" x14ac:dyDescent="0.2">
      <c r="B512" s="68"/>
      <c r="C512" s="69"/>
      <c r="D512" s="69"/>
      <c r="E512" s="69"/>
      <c r="F512" s="69"/>
      <c r="G512" s="69"/>
      <c r="I512" s="70"/>
      <c r="J512" s="70"/>
      <c r="K512" s="70"/>
      <c r="L512" s="70"/>
      <c r="M512" s="70"/>
      <c r="N512" s="70"/>
      <c r="P512" s="71"/>
    </row>
    <row r="513" spans="2:16" x14ac:dyDescent="0.2">
      <c r="B513" s="68"/>
      <c r="C513" s="69"/>
      <c r="D513" s="69"/>
      <c r="E513" s="69"/>
      <c r="F513" s="69"/>
      <c r="G513" s="69"/>
      <c r="I513" s="70"/>
      <c r="J513" s="70"/>
      <c r="K513" s="70"/>
      <c r="L513" s="70"/>
      <c r="M513" s="70"/>
      <c r="N513" s="70"/>
      <c r="P513" s="71"/>
    </row>
    <row r="514" spans="2:16" x14ac:dyDescent="0.2">
      <c r="B514" s="68"/>
      <c r="C514" s="69"/>
      <c r="D514" s="69"/>
      <c r="E514" s="69"/>
      <c r="F514" s="69"/>
      <c r="G514" s="69"/>
      <c r="I514" s="70"/>
      <c r="J514" s="70"/>
      <c r="K514" s="70"/>
      <c r="L514" s="70"/>
      <c r="M514" s="70"/>
      <c r="N514" s="70"/>
      <c r="P514" s="71"/>
    </row>
    <row r="515" spans="2:16" x14ac:dyDescent="0.2">
      <c r="B515" s="68"/>
      <c r="C515" s="69"/>
      <c r="D515" s="69"/>
      <c r="E515" s="69"/>
      <c r="F515" s="69"/>
      <c r="G515" s="69"/>
      <c r="I515" s="70"/>
      <c r="J515" s="70"/>
      <c r="K515" s="70"/>
      <c r="L515" s="70"/>
      <c r="M515" s="70"/>
      <c r="N515" s="70"/>
      <c r="P515" s="71"/>
    </row>
    <row r="516" spans="2:16" x14ac:dyDescent="0.2">
      <c r="B516" s="68"/>
      <c r="C516" s="69"/>
      <c r="D516" s="69"/>
      <c r="E516" s="69"/>
      <c r="F516" s="69"/>
      <c r="G516" s="69"/>
      <c r="I516" s="70"/>
      <c r="J516" s="70"/>
      <c r="K516" s="70"/>
      <c r="L516" s="70"/>
      <c r="M516" s="70"/>
      <c r="N516" s="70"/>
      <c r="P516" s="71"/>
    </row>
    <row r="517" spans="2:16" x14ac:dyDescent="0.2">
      <c r="B517" s="68"/>
      <c r="C517" s="69"/>
      <c r="D517" s="69"/>
      <c r="E517" s="69"/>
      <c r="F517" s="69"/>
      <c r="G517" s="69"/>
      <c r="I517" s="70"/>
      <c r="J517" s="70"/>
      <c r="K517" s="70"/>
      <c r="L517" s="70"/>
      <c r="M517" s="70"/>
      <c r="N517" s="70"/>
      <c r="P517" s="71"/>
    </row>
    <row r="518" spans="2:16" x14ac:dyDescent="0.2">
      <c r="B518" s="68"/>
      <c r="C518" s="69"/>
      <c r="D518" s="69"/>
      <c r="E518" s="69"/>
      <c r="F518" s="69"/>
      <c r="G518" s="69"/>
      <c r="I518" s="70"/>
      <c r="J518" s="70"/>
      <c r="K518" s="70"/>
      <c r="L518" s="70"/>
      <c r="M518" s="70"/>
      <c r="N518" s="70"/>
      <c r="P518" s="71"/>
    </row>
    <row r="519" spans="2:16" x14ac:dyDescent="0.2">
      <c r="B519" s="68"/>
      <c r="C519" s="69"/>
      <c r="D519" s="69"/>
      <c r="E519" s="69"/>
      <c r="F519" s="69"/>
      <c r="G519" s="69"/>
      <c r="I519" s="70"/>
      <c r="J519" s="70"/>
      <c r="K519" s="70"/>
      <c r="L519" s="70"/>
      <c r="M519" s="70"/>
      <c r="N519" s="70"/>
      <c r="P519" s="71"/>
    </row>
    <row r="520" spans="2:16" x14ac:dyDescent="0.2">
      <c r="B520" s="68"/>
      <c r="C520" s="69"/>
      <c r="D520" s="69"/>
      <c r="E520" s="69"/>
      <c r="F520" s="69"/>
      <c r="G520" s="69"/>
      <c r="I520" s="70"/>
      <c r="J520" s="70"/>
      <c r="K520" s="70"/>
      <c r="L520" s="70"/>
      <c r="M520" s="70"/>
      <c r="N520" s="70"/>
      <c r="P520" s="71"/>
    </row>
    <row r="521" spans="2:16" x14ac:dyDescent="0.2">
      <c r="B521" s="68"/>
      <c r="C521" s="69"/>
      <c r="D521" s="69"/>
      <c r="E521" s="69"/>
      <c r="F521" s="69"/>
      <c r="G521" s="69"/>
      <c r="I521" s="70"/>
      <c r="J521" s="70"/>
      <c r="K521" s="70"/>
      <c r="L521" s="70"/>
      <c r="M521" s="70"/>
      <c r="N521" s="70"/>
      <c r="P521" s="71"/>
    </row>
    <row r="522" spans="2:16" x14ac:dyDescent="0.2">
      <c r="B522" s="68"/>
      <c r="C522" s="69"/>
      <c r="D522" s="69"/>
      <c r="E522" s="69"/>
      <c r="F522" s="69"/>
      <c r="G522" s="69"/>
      <c r="I522" s="70"/>
      <c r="J522" s="70"/>
      <c r="K522" s="70"/>
      <c r="L522" s="70"/>
      <c r="M522" s="70"/>
      <c r="N522" s="70"/>
      <c r="P522" s="71"/>
    </row>
    <row r="523" spans="2:16" x14ac:dyDescent="0.2">
      <c r="B523" s="68"/>
      <c r="C523" s="69"/>
      <c r="D523" s="69"/>
      <c r="E523" s="69"/>
      <c r="F523" s="69"/>
      <c r="G523" s="69"/>
      <c r="I523" s="70"/>
      <c r="J523" s="70"/>
      <c r="K523" s="70"/>
      <c r="L523" s="70"/>
      <c r="M523" s="70"/>
      <c r="N523" s="70"/>
      <c r="P523" s="71"/>
    </row>
    <row r="524" spans="2:16" x14ac:dyDescent="0.2">
      <c r="B524" s="68"/>
      <c r="C524" s="69"/>
      <c r="D524" s="69"/>
      <c r="E524" s="69"/>
      <c r="F524" s="69"/>
      <c r="G524" s="69"/>
      <c r="I524" s="70"/>
      <c r="J524" s="70"/>
      <c r="K524" s="70"/>
      <c r="L524" s="70"/>
      <c r="M524" s="70"/>
      <c r="N524" s="70"/>
      <c r="P524" s="71"/>
    </row>
    <row r="525" spans="2:16" x14ac:dyDescent="0.2">
      <c r="B525" s="68"/>
      <c r="C525" s="69"/>
      <c r="D525" s="69"/>
      <c r="E525" s="69"/>
      <c r="F525" s="69"/>
      <c r="G525" s="69"/>
      <c r="I525" s="70"/>
      <c r="J525" s="70"/>
      <c r="K525" s="70"/>
      <c r="L525" s="70"/>
      <c r="M525" s="70"/>
      <c r="N525" s="70"/>
      <c r="P525" s="71"/>
    </row>
    <row r="526" spans="2:16" x14ac:dyDescent="0.2">
      <c r="B526" s="68"/>
      <c r="C526" s="69"/>
      <c r="D526" s="69"/>
      <c r="E526" s="69"/>
      <c r="F526" s="69"/>
      <c r="G526" s="69"/>
      <c r="I526" s="70"/>
      <c r="J526" s="70"/>
      <c r="K526" s="70"/>
      <c r="L526" s="70"/>
      <c r="M526" s="70"/>
      <c r="N526" s="70"/>
      <c r="P526" s="71"/>
    </row>
    <row r="527" spans="2:16" x14ac:dyDescent="0.2">
      <c r="B527" s="68"/>
      <c r="C527" s="69"/>
      <c r="D527" s="69"/>
      <c r="E527" s="69"/>
      <c r="F527" s="69"/>
      <c r="G527" s="69"/>
      <c r="I527" s="70"/>
      <c r="J527" s="70"/>
      <c r="K527" s="70"/>
      <c r="L527" s="70"/>
      <c r="M527" s="70"/>
      <c r="N527" s="70"/>
      <c r="P527" s="71"/>
    </row>
    <row r="528" spans="2:16" x14ac:dyDescent="0.2">
      <c r="B528" s="68"/>
      <c r="C528" s="69"/>
      <c r="D528" s="69"/>
      <c r="E528" s="69"/>
      <c r="F528" s="69"/>
      <c r="G528" s="69"/>
      <c r="I528" s="70"/>
      <c r="J528" s="70"/>
      <c r="K528" s="70"/>
      <c r="L528" s="70"/>
      <c r="M528" s="70"/>
      <c r="N528" s="70"/>
      <c r="P528" s="71"/>
    </row>
    <row r="529" spans="2:16" x14ac:dyDescent="0.2">
      <c r="B529" s="68"/>
      <c r="C529" s="69"/>
      <c r="D529" s="69"/>
      <c r="E529" s="69"/>
      <c r="F529" s="69"/>
      <c r="G529" s="69"/>
      <c r="I529" s="70"/>
      <c r="J529" s="70"/>
      <c r="K529" s="70"/>
      <c r="L529" s="70"/>
      <c r="M529" s="70"/>
      <c r="N529" s="70"/>
      <c r="P529" s="71"/>
    </row>
    <row r="530" spans="2:16" x14ac:dyDescent="0.2">
      <c r="B530" s="68"/>
      <c r="C530" s="69"/>
      <c r="D530" s="69"/>
      <c r="E530" s="69"/>
      <c r="F530" s="69"/>
      <c r="G530" s="69"/>
      <c r="I530" s="70"/>
      <c r="J530" s="70"/>
      <c r="K530" s="70"/>
      <c r="L530" s="70"/>
      <c r="M530" s="70"/>
      <c r="N530" s="70"/>
      <c r="P530" s="71"/>
    </row>
    <row r="531" spans="2:16" x14ac:dyDescent="0.2">
      <c r="B531" s="68"/>
      <c r="C531" s="69"/>
      <c r="D531" s="69"/>
      <c r="E531" s="69"/>
      <c r="F531" s="69"/>
      <c r="G531" s="69"/>
      <c r="I531" s="70"/>
      <c r="J531" s="70"/>
      <c r="K531" s="70"/>
      <c r="L531" s="70"/>
      <c r="M531" s="70"/>
      <c r="N531" s="70"/>
      <c r="P531" s="71"/>
    </row>
    <row r="532" spans="2:16" x14ac:dyDescent="0.2">
      <c r="B532" s="68"/>
      <c r="C532" s="69"/>
      <c r="D532" s="69"/>
      <c r="E532" s="69"/>
      <c r="F532" s="69"/>
      <c r="G532" s="69"/>
      <c r="I532" s="70"/>
      <c r="J532" s="70"/>
      <c r="K532" s="70"/>
      <c r="L532" s="70"/>
      <c r="M532" s="70"/>
      <c r="N532" s="70"/>
      <c r="P532" s="71"/>
    </row>
    <row r="533" spans="2:16" x14ac:dyDescent="0.2">
      <c r="B533" s="68"/>
      <c r="C533" s="69"/>
      <c r="D533" s="69"/>
      <c r="E533" s="69"/>
      <c r="F533" s="69"/>
      <c r="G533" s="69"/>
      <c r="I533" s="70"/>
      <c r="J533" s="70"/>
      <c r="K533" s="70"/>
      <c r="L533" s="70"/>
      <c r="M533" s="70"/>
      <c r="N533" s="70"/>
      <c r="P533" s="71"/>
    </row>
    <row r="534" spans="2:16" x14ac:dyDescent="0.2">
      <c r="B534" s="68"/>
      <c r="C534" s="69"/>
      <c r="D534" s="69"/>
      <c r="E534" s="69"/>
      <c r="F534" s="69"/>
      <c r="G534" s="69"/>
      <c r="I534" s="70"/>
      <c r="J534" s="70"/>
      <c r="K534" s="70"/>
      <c r="L534" s="70"/>
      <c r="M534" s="70"/>
      <c r="N534" s="70"/>
      <c r="P534" s="71"/>
    </row>
    <row r="535" spans="2:16" x14ac:dyDescent="0.2">
      <c r="B535" s="68"/>
      <c r="C535" s="69"/>
      <c r="D535" s="69"/>
      <c r="E535" s="69"/>
      <c r="F535" s="69"/>
      <c r="G535" s="69"/>
      <c r="I535" s="70"/>
      <c r="J535" s="70"/>
      <c r="K535" s="70"/>
      <c r="L535" s="70"/>
      <c r="M535" s="70"/>
      <c r="N535" s="70"/>
      <c r="P535" s="71"/>
    </row>
    <row r="536" spans="2:16" x14ac:dyDescent="0.2">
      <c r="B536" s="68"/>
      <c r="C536" s="69"/>
      <c r="D536" s="69"/>
      <c r="E536" s="69"/>
      <c r="F536" s="69"/>
      <c r="G536" s="69"/>
      <c r="I536" s="70"/>
      <c r="J536" s="70"/>
      <c r="K536" s="70"/>
      <c r="L536" s="70"/>
      <c r="M536" s="70"/>
      <c r="N536" s="70"/>
      <c r="P536" s="71"/>
    </row>
    <row r="537" spans="2:16" x14ac:dyDescent="0.2">
      <c r="B537" s="68"/>
      <c r="C537" s="69"/>
      <c r="D537" s="69"/>
      <c r="E537" s="69"/>
      <c r="F537" s="69"/>
      <c r="G537" s="69"/>
      <c r="I537" s="70"/>
      <c r="J537" s="70"/>
      <c r="K537" s="70"/>
      <c r="L537" s="70"/>
      <c r="M537" s="70"/>
      <c r="N537" s="70"/>
      <c r="P537" s="71"/>
    </row>
    <row r="538" spans="2:16" x14ac:dyDescent="0.2">
      <c r="B538" s="68"/>
      <c r="C538" s="69"/>
      <c r="D538" s="69"/>
      <c r="E538" s="69"/>
      <c r="F538" s="69"/>
      <c r="G538" s="69"/>
      <c r="I538" s="70"/>
      <c r="J538" s="70"/>
      <c r="K538" s="70"/>
      <c r="L538" s="70"/>
      <c r="M538" s="70"/>
      <c r="N538" s="70"/>
      <c r="P538" s="71"/>
    </row>
    <row r="539" spans="2:16" x14ac:dyDescent="0.2">
      <c r="B539" s="68"/>
      <c r="C539" s="69"/>
      <c r="D539" s="69"/>
      <c r="E539" s="69"/>
      <c r="F539" s="69"/>
      <c r="G539" s="69"/>
      <c r="I539" s="70"/>
      <c r="J539" s="70"/>
      <c r="K539" s="70"/>
      <c r="L539" s="70"/>
      <c r="M539" s="70"/>
      <c r="N539" s="70"/>
      <c r="P539" s="71"/>
    </row>
    <row r="540" spans="2:16" x14ac:dyDescent="0.2">
      <c r="B540" s="68"/>
      <c r="C540" s="69"/>
      <c r="D540" s="69"/>
      <c r="E540" s="69"/>
      <c r="F540" s="69"/>
      <c r="G540" s="69"/>
      <c r="I540" s="70"/>
      <c r="J540" s="70"/>
      <c r="K540" s="70"/>
      <c r="L540" s="70"/>
      <c r="M540" s="70"/>
      <c r="N540" s="70"/>
      <c r="P540" s="71"/>
    </row>
    <row r="541" spans="2:16" x14ac:dyDescent="0.2">
      <c r="B541" s="68"/>
      <c r="C541" s="69"/>
      <c r="D541" s="69"/>
      <c r="E541" s="69"/>
      <c r="F541" s="69"/>
      <c r="G541" s="69"/>
      <c r="I541" s="70"/>
      <c r="J541" s="70"/>
      <c r="K541" s="70"/>
      <c r="L541" s="70"/>
      <c r="M541" s="70"/>
      <c r="N541" s="70"/>
      <c r="P541" s="71"/>
    </row>
    <row r="542" spans="2:16" x14ac:dyDescent="0.2">
      <c r="B542" s="68"/>
      <c r="C542" s="69"/>
      <c r="D542" s="69"/>
      <c r="E542" s="69"/>
      <c r="F542" s="69"/>
      <c r="G542" s="69"/>
      <c r="I542" s="70"/>
      <c r="J542" s="70"/>
      <c r="K542" s="70"/>
      <c r="L542" s="70"/>
      <c r="M542" s="70"/>
      <c r="N542" s="70"/>
      <c r="P542" s="71"/>
    </row>
    <row r="543" spans="2:16" x14ac:dyDescent="0.2">
      <c r="B543" s="68"/>
      <c r="C543" s="69"/>
      <c r="D543" s="69"/>
      <c r="E543" s="69"/>
      <c r="F543" s="69"/>
      <c r="G543" s="69"/>
      <c r="I543" s="70"/>
      <c r="J543" s="70"/>
      <c r="K543" s="70"/>
      <c r="L543" s="70"/>
      <c r="M543" s="70"/>
      <c r="N543" s="70"/>
      <c r="P543" s="71"/>
    </row>
    <row r="544" spans="2:16" x14ac:dyDescent="0.2">
      <c r="B544" s="68"/>
      <c r="C544" s="69"/>
      <c r="D544" s="69"/>
      <c r="E544" s="69"/>
      <c r="F544" s="69"/>
      <c r="G544" s="69"/>
      <c r="I544" s="70"/>
      <c r="J544" s="70"/>
      <c r="K544" s="70"/>
      <c r="L544" s="70"/>
      <c r="M544" s="70"/>
      <c r="N544" s="70"/>
      <c r="P544" s="71"/>
    </row>
    <row r="545" spans="2:16" x14ac:dyDescent="0.2">
      <c r="B545" s="68"/>
      <c r="C545" s="69"/>
      <c r="D545" s="69"/>
      <c r="E545" s="69"/>
      <c r="F545" s="69"/>
      <c r="G545" s="69"/>
      <c r="I545" s="70"/>
      <c r="J545" s="70"/>
      <c r="K545" s="70"/>
      <c r="L545" s="70"/>
      <c r="M545" s="70"/>
      <c r="N545" s="70"/>
      <c r="P545" s="71"/>
    </row>
    <row r="546" spans="2:16" x14ac:dyDescent="0.2">
      <c r="B546" s="68"/>
      <c r="C546" s="69"/>
      <c r="D546" s="69"/>
      <c r="E546" s="69"/>
      <c r="F546" s="69"/>
      <c r="G546" s="69"/>
      <c r="I546" s="70"/>
      <c r="J546" s="70"/>
      <c r="K546" s="70"/>
      <c r="L546" s="70"/>
      <c r="M546" s="70"/>
      <c r="N546" s="70"/>
      <c r="P546" s="71"/>
    </row>
    <row r="547" spans="2:16" x14ac:dyDescent="0.2">
      <c r="B547" s="68"/>
      <c r="C547" s="69"/>
      <c r="D547" s="69"/>
      <c r="E547" s="69"/>
      <c r="F547" s="69"/>
      <c r="G547" s="69"/>
      <c r="I547" s="70"/>
      <c r="J547" s="70"/>
      <c r="K547" s="70"/>
      <c r="L547" s="70"/>
      <c r="M547" s="70"/>
      <c r="N547" s="70"/>
      <c r="P547" s="71"/>
    </row>
    <row r="548" spans="2:16" x14ac:dyDescent="0.2">
      <c r="B548" s="68"/>
      <c r="C548" s="69"/>
      <c r="D548" s="69"/>
      <c r="E548" s="69"/>
      <c r="F548" s="69"/>
      <c r="G548" s="69"/>
      <c r="I548" s="70"/>
      <c r="J548" s="70"/>
      <c r="K548" s="70"/>
      <c r="L548" s="70"/>
      <c r="M548" s="70"/>
      <c r="N548" s="70"/>
      <c r="P548" s="71"/>
    </row>
    <row r="549" spans="2:16" x14ac:dyDescent="0.2">
      <c r="B549" s="68"/>
      <c r="C549" s="69"/>
      <c r="D549" s="69"/>
      <c r="E549" s="69"/>
      <c r="F549" s="69"/>
      <c r="G549" s="69"/>
      <c r="I549" s="70"/>
      <c r="J549" s="70"/>
      <c r="K549" s="70"/>
      <c r="L549" s="70"/>
      <c r="M549" s="70"/>
      <c r="N549" s="70"/>
      <c r="P549" s="71"/>
    </row>
    <row r="550" spans="2:16" x14ac:dyDescent="0.2">
      <c r="B550" s="68"/>
      <c r="C550" s="69"/>
      <c r="D550" s="69"/>
      <c r="E550" s="69"/>
      <c r="F550" s="69"/>
      <c r="G550" s="69"/>
      <c r="I550" s="70"/>
      <c r="J550" s="70"/>
      <c r="K550" s="70"/>
      <c r="L550" s="70"/>
      <c r="M550" s="70"/>
      <c r="N550" s="70"/>
      <c r="P550" s="71"/>
    </row>
    <row r="551" spans="2:16" x14ac:dyDescent="0.2">
      <c r="B551" s="68"/>
      <c r="C551" s="69"/>
      <c r="D551" s="69"/>
      <c r="E551" s="69"/>
      <c r="F551" s="69"/>
      <c r="G551" s="69"/>
      <c r="I551" s="70"/>
      <c r="J551" s="70"/>
      <c r="K551" s="70"/>
      <c r="L551" s="70"/>
      <c r="M551" s="70"/>
      <c r="N551" s="70"/>
      <c r="P551" s="71"/>
    </row>
    <row r="552" spans="2:16" x14ac:dyDescent="0.2">
      <c r="B552" s="68"/>
      <c r="C552" s="69"/>
      <c r="D552" s="69"/>
      <c r="E552" s="69"/>
      <c r="F552" s="69"/>
      <c r="G552" s="69"/>
      <c r="I552" s="70"/>
      <c r="J552" s="70"/>
      <c r="K552" s="70"/>
      <c r="L552" s="70"/>
      <c r="M552" s="70"/>
      <c r="N552" s="70"/>
      <c r="P552" s="71"/>
    </row>
    <row r="553" spans="2:16" x14ac:dyDescent="0.2">
      <c r="B553" s="68"/>
      <c r="C553" s="69"/>
      <c r="D553" s="69"/>
      <c r="E553" s="69"/>
      <c r="F553" s="69"/>
      <c r="G553" s="69"/>
      <c r="I553" s="70"/>
      <c r="J553" s="70"/>
      <c r="K553" s="70"/>
      <c r="L553" s="70"/>
      <c r="M553" s="70"/>
      <c r="N553" s="70"/>
      <c r="P553" s="71"/>
    </row>
    <row r="554" spans="2:16" x14ac:dyDescent="0.2">
      <c r="B554" s="68"/>
      <c r="C554" s="69"/>
      <c r="D554" s="69"/>
      <c r="E554" s="69"/>
      <c r="F554" s="69"/>
      <c r="G554" s="69"/>
      <c r="I554" s="70"/>
      <c r="J554" s="70"/>
      <c r="K554" s="70"/>
      <c r="L554" s="70"/>
      <c r="M554" s="70"/>
      <c r="N554" s="70"/>
      <c r="P554" s="71"/>
    </row>
    <row r="555" spans="2:16" x14ac:dyDescent="0.2">
      <c r="B555" s="68"/>
      <c r="C555" s="69"/>
      <c r="D555" s="69"/>
      <c r="E555" s="69"/>
      <c r="F555" s="69"/>
      <c r="G555" s="69"/>
      <c r="I555" s="70"/>
      <c r="J555" s="70"/>
      <c r="K555" s="70"/>
      <c r="L555" s="70"/>
      <c r="M555" s="70"/>
      <c r="N555" s="70"/>
      <c r="P555" s="71"/>
    </row>
    <row r="556" spans="2:16" x14ac:dyDescent="0.2">
      <c r="B556" s="68"/>
      <c r="C556" s="69"/>
      <c r="D556" s="69"/>
      <c r="E556" s="69"/>
      <c r="F556" s="69"/>
      <c r="G556" s="69"/>
      <c r="I556" s="70"/>
      <c r="J556" s="70"/>
      <c r="K556" s="70"/>
      <c r="L556" s="70"/>
      <c r="M556" s="70"/>
      <c r="N556" s="70"/>
      <c r="P556" s="71"/>
    </row>
    <row r="557" spans="2:16" x14ac:dyDescent="0.2">
      <c r="B557" s="68"/>
      <c r="C557" s="69"/>
      <c r="D557" s="69"/>
      <c r="E557" s="69"/>
      <c r="F557" s="69"/>
      <c r="G557" s="69"/>
      <c r="I557" s="70"/>
      <c r="J557" s="70"/>
      <c r="K557" s="70"/>
      <c r="L557" s="70"/>
      <c r="M557" s="70"/>
      <c r="N557" s="70"/>
      <c r="P557" s="71"/>
    </row>
    <row r="558" spans="2:16" x14ac:dyDescent="0.2">
      <c r="B558" s="68"/>
      <c r="C558" s="69"/>
      <c r="D558" s="69"/>
      <c r="E558" s="69"/>
      <c r="F558" s="69"/>
      <c r="G558" s="69"/>
      <c r="I558" s="70"/>
      <c r="J558" s="70"/>
      <c r="K558" s="70"/>
      <c r="L558" s="70"/>
      <c r="M558" s="70"/>
      <c r="N558" s="70"/>
      <c r="P558" s="71"/>
    </row>
    <row r="559" spans="2:16" x14ac:dyDescent="0.2">
      <c r="B559" s="68"/>
      <c r="C559" s="69"/>
      <c r="D559" s="69"/>
      <c r="E559" s="69"/>
      <c r="F559" s="69"/>
      <c r="G559" s="69"/>
      <c r="I559" s="70"/>
      <c r="J559" s="70"/>
      <c r="K559" s="70"/>
      <c r="L559" s="70"/>
      <c r="M559" s="70"/>
      <c r="N559" s="70"/>
      <c r="P559" s="71"/>
    </row>
    <row r="560" spans="2:16" x14ac:dyDescent="0.2">
      <c r="B560" s="68"/>
      <c r="C560" s="69"/>
      <c r="D560" s="69"/>
      <c r="E560" s="69"/>
      <c r="F560" s="69"/>
      <c r="G560" s="69"/>
      <c r="I560" s="70"/>
      <c r="J560" s="70"/>
      <c r="K560" s="70"/>
      <c r="L560" s="70"/>
      <c r="M560" s="70"/>
      <c r="N560" s="70"/>
      <c r="P560" s="71"/>
    </row>
    <row r="561" spans="2:16" x14ac:dyDescent="0.2">
      <c r="B561" s="68"/>
      <c r="C561" s="69"/>
      <c r="D561" s="69"/>
      <c r="E561" s="69"/>
      <c r="F561" s="69"/>
      <c r="G561" s="69"/>
      <c r="I561" s="70"/>
      <c r="J561" s="70"/>
      <c r="K561" s="70"/>
      <c r="L561" s="70"/>
      <c r="M561" s="70"/>
      <c r="N561" s="70"/>
      <c r="P561" s="71"/>
    </row>
    <row r="562" spans="2:16" x14ac:dyDescent="0.2">
      <c r="B562" s="68"/>
      <c r="C562" s="69"/>
      <c r="D562" s="69"/>
      <c r="E562" s="69"/>
      <c r="F562" s="69"/>
      <c r="G562" s="69"/>
      <c r="I562" s="70"/>
      <c r="J562" s="70"/>
      <c r="K562" s="70"/>
      <c r="L562" s="70"/>
      <c r="M562" s="70"/>
      <c r="N562" s="70"/>
      <c r="P562" s="71"/>
    </row>
    <row r="563" spans="2:16" x14ac:dyDescent="0.2">
      <c r="B563" s="68"/>
      <c r="C563" s="69"/>
      <c r="D563" s="69"/>
      <c r="E563" s="69"/>
      <c r="F563" s="69"/>
      <c r="G563" s="69"/>
      <c r="I563" s="70"/>
      <c r="J563" s="70"/>
      <c r="K563" s="70"/>
      <c r="L563" s="70"/>
      <c r="M563" s="70"/>
      <c r="N563" s="70"/>
      <c r="P563" s="71"/>
    </row>
    <row r="564" spans="2:16" x14ac:dyDescent="0.2">
      <c r="B564" s="68"/>
      <c r="C564" s="69"/>
      <c r="D564" s="69"/>
      <c r="E564" s="69"/>
      <c r="F564" s="69"/>
      <c r="G564" s="69"/>
      <c r="I564" s="70"/>
      <c r="J564" s="70"/>
      <c r="K564" s="70"/>
      <c r="L564" s="70"/>
      <c r="M564" s="70"/>
      <c r="N564" s="70"/>
      <c r="P564" s="71"/>
    </row>
    <row r="565" spans="2:16" x14ac:dyDescent="0.2">
      <c r="B565" s="68"/>
      <c r="C565" s="69"/>
      <c r="D565" s="69"/>
      <c r="E565" s="69"/>
      <c r="F565" s="69"/>
      <c r="G565" s="69"/>
      <c r="I565" s="70"/>
      <c r="J565" s="70"/>
      <c r="K565" s="70"/>
      <c r="L565" s="70"/>
      <c r="M565" s="70"/>
      <c r="N565" s="70"/>
      <c r="P565" s="71"/>
    </row>
    <row r="566" spans="2:16" x14ac:dyDescent="0.2">
      <c r="B566" s="68"/>
      <c r="C566" s="69"/>
      <c r="D566" s="69"/>
      <c r="E566" s="69"/>
      <c r="F566" s="69"/>
      <c r="G566" s="69"/>
      <c r="I566" s="70"/>
      <c r="J566" s="70"/>
      <c r="K566" s="70"/>
      <c r="L566" s="70"/>
      <c r="M566" s="70"/>
      <c r="N566" s="70"/>
      <c r="P566" s="71"/>
    </row>
    <row r="567" spans="2:16" x14ac:dyDescent="0.2">
      <c r="B567" s="68"/>
      <c r="C567" s="69"/>
      <c r="D567" s="69"/>
      <c r="E567" s="69"/>
      <c r="F567" s="69"/>
      <c r="G567" s="69"/>
      <c r="I567" s="70"/>
      <c r="J567" s="70"/>
      <c r="K567" s="70"/>
      <c r="L567" s="70"/>
      <c r="M567" s="70"/>
      <c r="N567" s="70"/>
      <c r="P567" s="71"/>
    </row>
    <row r="568" spans="2:16" x14ac:dyDescent="0.2">
      <c r="B568" s="68"/>
      <c r="C568" s="69"/>
      <c r="D568" s="69"/>
      <c r="E568" s="69"/>
      <c r="F568" s="69"/>
      <c r="G568" s="69"/>
      <c r="I568" s="70"/>
      <c r="J568" s="70"/>
      <c r="K568" s="70"/>
      <c r="L568" s="70"/>
      <c r="M568" s="70"/>
      <c r="N568" s="70"/>
      <c r="P568" s="71"/>
    </row>
    <row r="569" spans="2:16" x14ac:dyDescent="0.2">
      <c r="B569" s="68"/>
      <c r="C569" s="69"/>
      <c r="D569" s="69"/>
      <c r="E569" s="69"/>
      <c r="F569" s="69"/>
      <c r="G569" s="69"/>
      <c r="I569" s="70"/>
      <c r="J569" s="70"/>
      <c r="K569" s="70"/>
      <c r="L569" s="70"/>
      <c r="M569" s="70"/>
      <c r="N569" s="70"/>
      <c r="P569" s="71"/>
    </row>
    <row r="570" spans="2:16" x14ac:dyDescent="0.2">
      <c r="B570" s="68"/>
      <c r="C570" s="69"/>
      <c r="D570" s="69"/>
      <c r="E570" s="69"/>
      <c r="F570" s="69"/>
      <c r="G570" s="69"/>
      <c r="I570" s="70"/>
      <c r="J570" s="70"/>
      <c r="K570" s="70"/>
      <c r="L570" s="70"/>
      <c r="M570" s="70"/>
      <c r="N570" s="70"/>
      <c r="P570" s="71"/>
    </row>
    <row r="571" spans="2:16" x14ac:dyDescent="0.2">
      <c r="B571" s="68"/>
      <c r="C571" s="69"/>
      <c r="D571" s="69"/>
      <c r="E571" s="69"/>
      <c r="F571" s="69"/>
      <c r="G571" s="69"/>
      <c r="I571" s="70"/>
      <c r="J571" s="70"/>
      <c r="K571" s="70"/>
      <c r="L571" s="70"/>
      <c r="M571" s="70"/>
      <c r="N571" s="70"/>
      <c r="P571" s="71"/>
    </row>
    <row r="572" spans="2:16" x14ac:dyDescent="0.2">
      <c r="B572" s="68"/>
      <c r="C572" s="69"/>
      <c r="D572" s="69"/>
      <c r="E572" s="69"/>
      <c r="F572" s="69"/>
      <c r="G572" s="69"/>
      <c r="I572" s="70"/>
      <c r="J572" s="70"/>
      <c r="K572" s="70"/>
      <c r="L572" s="70"/>
      <c r="M572" s="70"/>
      <c r="N572" s="70"/>
      <c r="P572" s="71"/>
    </row>
    <row r="573" spans="2:16" x14ac:dyDescent="0.2">
      <c r="B573" s="68"/>
      <c r="C573" s="69"/>
      <c r="D573" s="69"/>
      <c r="E573" s="69"/>
      <c r="F573" s="69"/>
      <c r="G573" s="69"/>
      <c r="I573" s="70"/>
      <c r="J573" s="70"/>
      <c r="K573" s="70"/>
      <c r="L573" s="70"/>
      <c r="M573" s="70"/>
      <c r="N573" s="70"/>
      <c r="P573" s="71"/>
    </row>
    <row r="574" spans="2:16" x14ac:dyDescent="0.2">
      <c r="B574" s="68"/>
      <c r="C574" s="69"/>
      <c r="D574" s="69"/>
      <c r="E574" s="69"/>
      <c r="F574" s="69"/>
      <c r="G574" s="69"/>
      <c r="I574" s="70"/>
      <c r="J574" s="70"/>
      <c r="K574" s="70"/>
      <c r="L574" s="70"/>
      <c r="M574" s="70"/>
      <c r="N574" s="70"/>
      <c r="P574" s="71"/>
    </row>
    <row r="575" spans="2:16" x14ac:dyDescent="0.2">
      <c r="B575" s="68"/>
      <c r="C575" s="69"/>
      <c r="D575" s="69"/>
      <c r="E575" s="69"/>
      <c r="F575" s="69"/>
      <c r="G575" s="69"/>
      <c r="I575" s="70"/>
      <c r="J575" s="70"/>
      <c r="K575" s="70"/>
      <c r="L575" s="70"/>
      <c r="M575" s="70"/>
      <c r="N575" s="70"/>
      <c r="P575" s="71"/>
    </row>
    <row r="576" spans="2:16" x14ac:dyDescent="0.2">
      <c r="B576" s="68"/>
      <c r="C576" s="69"/>
      <c r="D576" s="69"/>
      <c r="E576" s="69"/>
      <c r="F576" s="69"/>
      <c r="G576" s="69"/>
      <c r="I576" s="70"/>
      <c r="J576" s="70"/>
      <c r="K576" s="70"/>
      <c r="L576" s="70"/>
      <c r="M576" s="70"/>
      <c r="N576" s="70"/>
      <c r="P576" s="71"/>
    </row>
    <row r="577" spans="2:16" x14ac:dyDescent="0.2">
      <c r="B577" s="68"/>
      <c r="C577" s="69"/>
      <c r="D577" s="69"/>
      <c r="E577" s="69"/>
      <c r="F577" s="69"/>
      <c r="G577" s="69"/>
      <c r="I577" s="70"/>
      <c r="J577" s="70"/>
      <c r="K577" s="70"/>
      <c r="L577" s="70"/>
      <c r="M577" s="70"/>
      <c r="N577" s="70"/>
      <c r="P577" s="71"/>
    </row>
    <row r="578" spans="2:16" x14ac:dyDescent="0.2">
      <c r="B578" s="68"/>
      <c r="C578" s="69"/>
      <c r="D578" s="69"/>
      <c r="E578" s="69"/>
      <c r="F578" s="69"/>
      <c r="G578" s="69"/>
      <c r="I578" s="70"/>
      <c r="J578" s="70"/>
      <c r="K578" s="70"/>
      <c r="L578" s="70"/>
      <c r="M578" s="70"/>
      <c r="N578" s="70"/>
      <c r="P578" s="71"/>
    </row>
    <row r="579" spans="2:16" x14ac:dyDescent="0.2">
      <c r="B579" s="68"/>
      <c r="C579" s="69"/>
      <c r="D579" s="69"/>
      <c r="E579" s="69"/>
      <c r="F579" s="69"/>
      <c r="G579" s="69"/>
      <c r="I579" s="70"/>
      <c r="J579" s="70"/>
      <c r="K579" s="70"/>
      <c r="L579" s="70"/>
      <c r="M579" s="70"/>
      <c r="N579" s="70"/>
      <c r="P579" s="71"/>
    </row>
    <row r="580" spans="2:16" x14ac:dyDescent="0.2">
      <c r="B580" s="68"/>
      <c r="C580" s="69"/>
      <c r="D580" s="69"/>
      <c r="E580" s="69"/>
      <c r="F580" s="69"/>
      <c r="G580" s="69"/>
      <c r="I580" s="70"/>
      <c r="J580" s="70"/>
      <c r="K580" s="70"/>
      <c r="L580" s="70"/>
      <c r="M580" s="70"/>
      <c r="N580" s="70"/>
      <c r="P580" s="71"/>
    </row>
    <row r="581" spans="2:16" x14ac:dyDescent="0.2">
      <c r="B581" s="68"/>
      <c r="C581" s="69"/>
      <c r="D581" s="69"/>
      <c r="E581" s="69"/>
      <c r="F581" s="69"/>
      <c r="G581" s="69"/>
      <c r="I581" s="70"/>
      <c r="J581" s="70"/>
      <c r="K581" s="70"/>
      <c r="L581" s="70"/>
      <c r="M581" s="70"/>
      <c r="N581" s="70"/>
      <c r="P581" s="71"/>
    </row>
    <row r="582" spans="2:16" x14ac:dyDescent="0.2">
      <c r="B582" s="68"/>
      <c r="C582" s="69"/>
      <c r="D582" s="69"/>
      <c r="E582" s="69"/>
      <c r="F582" s="69"/>
      <c r="G582" s="69"/>
      <c r="I582" s="70"/>
      <c r="J582" s="70"/>
      <c r="K582" s="70"/>
      <c r="L582" s="70"/>
      <c r="M582" s="70"/>
      <c r="N582" s="70"/>
      <c r="P582" s="71"/>
    </row>
    <row r="583" spans="2:16" x14ac:dyDescent="0.2">
      <c r="B583" s="68"/>
      <c r="C583" s="69"/>
      <c r="D583" s="69"/>
      <c r="E583" s="69"/>
      <c r="F583" s="69"/>
      <c r="G583" s="69"/>
      <c r="I583" s="70"/>
      <c r="J583" s="70"/>
      <c r="K583" s="70"/>
      <c r="L583" s="70"/>
      <c r="M583" s="70"/>
      <c r="N583" s="70"/>
      <c r="P583" s="71"/>
    </row>
    <row r="584" spans="2:16" x14ac:dyDescent="0.2">
      <c r="B584" s="68"/>
      <c r="C584" s="69"/>
      <c r="D584" s="69"/>
      <c r="E584" s="69"/>
      <c r="F584" s="69"/>
      <c r="G584" s="69"/>
      <c r="I584" s="70"/>
      <c r="J584" s="70"/>
      <c r="K584" s="70"/>
      <c r="L584" s="70"/>
      <c r="M584" s="70"/>
      <c r="N584" s="70"/>
      <c r="P584" s="71"/>
    </row>
    <row r="585" spans="2:16" x14ac:dyDescent="0.2">
      <c r="B585" s="68"/>
      <c r="C585" s="69"/>
      <c r="D585" s="69"/>
      <c r="E585" s="69"/>
      <c r="F585" s="69"/>
      <c r="G585" s="69"/>
      <c r="I585" s="70"/>
      <c r="J585" s="70"/>
      <c r="K585" s="70"/>
      <c r="L585" s="70"/>
      <c r="M585" s="70"/>
      <c r="N585" s="70"/>
      <c r="P585" s="71"/>
    </row>
    <row r="586" spans="2:16" x14ac:dyDescent="0.2">
      <c r="B586" s="68"/>
      <c r="C586" s="69"/>
      <c r="D586" s="69"/>
      <c r="E586" s="69"/>
      <c r="F586" s="69"/>
      <c r="G586" s="69"/>
      <c r="I586" s="70"/>
      <c r="J586" s="70"/>
      <c r="K586" s="70"/>
      <c r="L586" s="70"/>
      <c r="M586" s="70"/>
      <c r="N586" s="70"/>
      <c r="P586" s="71"/>
    </row>
    <row r="587" spans="2:16" x14ac:dyDescent="0.2">
      <c r="B587" s="68"/>
      <c r="C587" s="69"/>
      <c r="D587" s="69"/>
      <c r="E587" s="69"/>
      <c r="F587" s="69"/>
      <c r="G587" s="69"/>
      <c r="I587" s="70"/>
      <c r="J587" s="70"/>
      <c r="K587" s="70"/>
      <c r="L587" s="70"/>
      <c r="M587" s="70"/>
      <c r="N587" s="70"/>
      <c r="P587" s="71"/>
    </row>
    <row r="588" spans="2:16" x14ac:dyDescent="0.2">
      <c r="B588" s="68"/>
      <c r="C588" s="69"/>
      <c r="D588" s="69"/>
      <c r="E588" s="69"/>
      <c r="F588" s="69"/>
      <c r="G588" s="69"/>
      <c r="I588" s="70"/>
      <c r="J588" s="70"/>
      <c r="K588" s="70"/>
      <c r="L588" s="70"/>
      <c r="M588" s="70"/>
      <c r="N588" s="70"/>
      <c r="P588" s="71"/>
    </row>
    <row r="589" spans="2:16" x14ac:dyDescent="0.2">
      <c r="B589" s="68"/>
      <c r="C589" s="69"/>
      <c r="D589" s="69"/>
      <c r="E589" s="69"/>
      <c r="F589" s="69"/>
      <c r="G589" s="69"/>
      <c r="I589" s="70"/>
      <c r="J589" s="70"/>
      <c r="K589" s="70"/>
      <c r="L589" s="70"/>
      <c r="M589" s="70"/>
      <c r="N589" s="70"/>
      <c r="P589" s="71"/>
    </row>
    <row r="590" spans="2:16" x14ac:dyDescent="0.2">
      <c r="B590" s="68"/>
      <c r="C590" s="69"/>
      <c r="D590" s="69"/>
      <c r="E590" s="69"/>
      <c r="F590" s="69"/>
      <c r="G590" s="69"/>
      <c r="I590" s="70"/>
      <c r="J590" s="70"/>
      <c r="K590" s="70"/>
      <c r="L590" s="70"/>
      <c r="M590" s="70"/>
      <c r="N590" s="70"/>
      <c r="P590" s="71"/>
    </row>
    <row r="591" spans="2:16" x14ac:dyDescent="0.2">
      <c r="B591" s="68"/>
      <c r="C591" s="69"/>
      <c r="D591" s="69"/>
      <c r="E591" s="69"/>
      <c r="F591" s="69"/>
      <c r="G591" s="69"/>
      <c r="I591" s="70"/>
      <c r="J591" s="70"/>
      <c r="K591" s="70"/>
      <c r="L591" s="70"/>
      <c r="M591" s="70"/>
      <c r="N591" s="70"/>
      <c r="P591" s="71"/>
    </row>
    <row r="592" spans="2:16" x14ac:dyDescent="0.2">
      <c r="B592" s="68"/>
      <c r="C592" s="69"/>
      <c r="D592" s="69"/>
      <c r="E592" s="69"/>
      <c r="F592" s="69"/>
      <c r="G592" s="69"/>
      <c r="I592" s="70"/>
      <c r="J592" s="70"/>
      <c r="K592" s="70"/>
      <c r="L592" s="70"/>
      <c r="M592" s="70"/>
      <c r="N592" s="70"/>
      <c r="P592" s="71"/>
    </row>
    <row r="593" spans="2:16" x14ac:dyDescent="0.2">
      <c r="B593" s="68"/>
      <c r="C593" s="69"/>
      <c r="D593" s="69"/>
      <c r="E593" s="69"/>
      <c r="F593" s="69"/>
      <c r="G593" s="69"/>
      <c r="I593" s="70"/>
      <c r="J593" s="70"/>
      <c r="K593" s="70"/>
      <c r="L593" s="70"/>
      <c r="M593" s="70"/>
      <c r="N593" s="70"/>
      <c r="P593" s="71"/>
    </row>
    <row r="594" spans="2:16" x14ac:dyDescent="0.2">
      <c r="B594" s="68"/>
      <c r="C594" s="69"/>
      <c r="D594" s="69"/>
      <c r="E594" s="69"/>
      <c r="F594" s="69"/>
      <c r="G594" s="69"/>
      <c r="I594" s="70"/>
      <c r="J594" s="70"/>
      <c r="K594" s="70"/>
      <c r="L594" s="70"/>
      <c r="M594" s="70"/>
      <c r="N594" s="70"/>
      <c r="P594" s="71"/>
    </row>
    <row r="595" spans="2:16" x14ac:dyDescent="0.2">
      <c r="B595" s="68"/>
      <c r="C595" s="69"/>
      <c r="D595" s="69"/>
      <c r="E595" s="69"/>
      <c r="F595" s="69"/>
      <c r="G595" s="69"/>
      <c r="I595" s="70"/>
      <c r="J595" s="70"/>
      <c r="K595" s="70"/>
      <c r="L595" s="70"/>
      <c r="M595" s="70"/>
      <c r="N595" s="70"/>
      <c r="P595" s="71"/>
    </row>
    <row r="596" spans="2:16" x14ac:dyDescent="0.2">
      <c r="B596" s="68"/>
      <c r="C596" s="69"/>
      <c r="D596" s="69"/>
      <c r="E596" s="69"/>
      <c r="F596" s="69"/>
      <c r="G596" s="69"/>
      <c r="I596" s="70"/>
      <c r="J596" s="70"/>
      <c r="K596" s="70"/>
      <c r="L596" s="70"/>
      <c r="M596" s="70"/>
      <c r="N596" s="70"/>
      <c r="P596" s="71"/>
    </row>
    <row r="597" spans="2:16" x14ac:dyDescent="0.2">
      <c r="B597" s="68"/>
      <c r="C597" s="69"/>
      <c r="D597" s="69"/>
      <c r="E597" s="69"/>
      <c r="F597" s="69"/>
      <c r="G597" s="69"/>
      <c r="I597" s="70"/>
      <c r="J597" s="70"/>
      <c r="K597" s="70"/>
      <c r="L597" s="70"/>
      <c r="M597" s="70"/>
      <c r="N597" s="70"/>
      <c r="P597" s="71"/>
    </row>
    <row r="598" spans="2:16" x14ac:dyDescent="0.2">
      <c r="B598" s="68"/>
      <c r="C598" s="69"/>
      <c r="D598" s="69"/>
      <c r="E598" s="69"/>
      <c r="F598" s="69"/>
      <c r="G598" s="69"/>
      <c r="I598" s="70"/>
      <c r="J598" s="70"/>
      <c r="K598" s="70"/>
      <c r="L598" s="70"/>
      <c r="M598" s="70"/>
      <c r="N598" s="70"/>
      <c r="P598" s="71"/>
    </row>
    <row r="599" spans="2:16" x14ac:dyDescent="0.2">
      <c r="B599" s="68"/>
      <c r="C599" s="69"/>
      <c r="D599" s="69"/>
      <c r="E599" s="69"/>
      <c r="F599" s="69"/>
      <c r="G599" s="69"/>
      <c r="I599" s="70"/>
      <c r="J599" s="70"/>
      <c r="K599" s="70"/>
      <c r="L599" s="70"/>
      <c r="M599" s="70"/>
      <c r="N599" s="70"/>
      <c r="P599" s="71"/>
    </row>
    <row r="600" spans="2:16" x14ac:dyDescent="0.2">
      <c r="B600" s="68"/>
      <c r="C600" s="69"/>
      <c r="D600" s="69"/>
      <c r="E600" s="69"/>
      <c r="F600" s="69"/>
      <c r="G600" s="69"/>
      <c r="I600" s="70"/>
      <c r="J600" s="70"/>
      <c r="K600" s="70"/>
      <c r="L600" s="70"/>
      <c r="M600" s="70"/>
      <c r="N600" s="70"/>
      <c r="P600" s="71"/>
    </row>
    <row r="601" spans="2:16" x14ac:dyDescent="0.2">
      <c r="B601" s="68"/>
      <c r="C601" s="69"/>
      <c r="D601" s="69"/>
      <c r="E601" s="69"/>
      <c r="F601" s="69"/>
      <c r="G601" s="69"/>
      <c r="I601" s="70"/>
      <c r="J601" s="70"/>
      <c r="K601" s="70"/>
      <c r="L601" s="70"/>
      <c r="M601" s="70"/>
      <c r="N601" s="70"/>
      <c r="P601" s="71"/>
    </row>
    <row r="602" spans="2:16" x14ac:dyDescent="0.2">
      <c r="B602" s="68"/>
      <c r="C602" s="69"/>
      <c r="D602" s="69"/>
      <c r="E602" s="69"/>
      <c r="F602" s="69"/>
      <c r="G602" s="69"/>
      <c r="I602" s="70"/>
      <c r="J602" s="70"/>
      <c r="K602" s="70"/>
      <c r="L602" s="70"/>
      <c r="M602" s="70"/>
      <c r="N602" s="70"/>
      <c r="P602" s="71"/>
    </row>
    <row r="603" spans="2:16" x14ac:dyDescent="0.2">
      <c r="B603" s="68"/>
      <c r="C603" s="69"/>
      <c r="D603" s="69"/>
      <c r="E603" s="69"/>
      <c r="F603" s="69"/>
      <c r="G603" s="69"/>
      <c r="I603" s="70"/>
      <c r="J603" s="70"/>
      <c r="K603" s="70"/>
      <c r="L603" s="70"/>
      <c r="M603" s="70"/>
      <c r="N603" s="70"/>
      <c r="P603" s="71"/>
    </row>
    <row r="604" spans="2:16" x14ac:dyDescent="0.2">
      <c r="B604" s="68"/>
      <c r="C604" s="69"/>
      <c r="D604" s="69"/>
      <c r="E604" s="69"/>
      <c r="F604" s="69"/>
      <c r="G604" s="69"/>
      <c r="I604" s="70"/>
      <c r="J604" s="70"/>
      <c r="K604" s="70"/>
      <c r="L604" s="70"/>
      <c r="M604" s="70"/>
      <c r="N604" s="70"/>
      <c r="P604" s="71"/>
    </row>
    <row r="605" spans="2:16" x14ac:dyDescent="0.2">
      <c r="B605" s="68"/>
      <c r="C605" s="69"/>
      <c r="D605" s="69"/>
      <c r="E605" s="69"/>
      <c r="F605" s="69"/>
      <c r="G605" s="69"/>
      <c r="I605" s="70"/>
      <c r="J605" s="70"/>
      <c r="K605" s="70"/>
      <c r="L605" s="70"/>
      <c r="M605" s="70"/>
      <c r="N605" s="70"/>
      <c r="P605" s="71"/>
    </row>
    <row r="606" spans="2:16" x14ac:dyDescent="0.2">
      <c r="B606" s="68"/>
      <c r="C606" s="69"/>
      <c r="D606" s="69"/>
      <c r="E606" s="69"/>
      <c r="F606" s="69"/>
      <c r="G606" s="69"/>
      <c r="I606" s="70"/>
      <c r="J606" s="70"/>
      <c r="K606" s="70"/>
      <c r="L606" s="70"/>
      <c r="M606" s="70"/>
      <c r="N606" s="70"/>
      <c r="P606" s="71"/>
    </row>
    <row r="607" spans="2:16" x14ac:dyDescent="0.2">
      <c r="B607" s="68"/>
      <c r="C607" s="69"/>
      <c r="D607" s="69"/>
      <c r="E607" s="69"/>
      <c r="F607" s="69"/>
      <c r="G607" s="69"/>
      <c r="I607" s="70"/>
      <c r="J607" s="70"/>
      <c r="K607" s="70"/>
      <c r="L607" s="70"/>
      <c r="M607" s="70"/>
      <c r="N607" s="70"/>
      <c r="P607" s="71"/>
    </row>
    <row r="608" spans="2:16" x14ac:dyDescent="0.2">
      <c r="B608" s="68"/>
      <c r="C608" s="69"/>
      <c r="D608" s="69"/>
      <c r="E608" s="69"/>
      <c r="F608" s="69"/>
      <c r="G608" s="69"/>
      <c r="I608" s="70"/>
      <c r="J608" s="70"/>
      <c r="K608" s="70"/>
      <c r="L608" s="70"/>
      <c r="M608" s="70"/>
      <c r="N608" s="70"/>
      <c r="P608" s="71"/>
    </row>
    <row r="609" spans="2:16" x14ac:dyDescent="0.2">
      <c r="B609" s="68"/>
      <c r="C609" s="69"/>
      <c r="D609" s="69"/>
      <c r="E609" s="69"/>
      <c r="F609" s="69"/>
      <c r="G609" s="69"/>
      <c r="I609" s="70"/>
      <c r="J609" s="70"/>
      <c r="K609" s="70"/>
      <c r="L609" s="70"/>
      <c r="M609" s="70"/>
      <c r="N609" s="70"/>
      <c r="P609" s="71"/>
    </row>
    <row r="610" spans="2:16" x14ac:dyDescent="0.2">
      <c r="B610" s="68"/>
      <c r="C610" s="69"/>
      <c r="D610" s="69"/>
      <c r="E610" s="69"/>
      <c r="F610" s="69"/>
      <c r="G610" s="69"/>
      <c r="I610" s="70"/>
      <c r="J610" s="70"/>
      <c r="K610" s="70"/>
      <c r="L610" s="70"/>
      <c r="M610" s="70"/>
      <c r="N610" s="70"/>
      <c r="P610" s="71"/>
    </row>
    <row r="611" spans="2:16" x14ac:dyDescent="0.2">
      <c r="B611" s="68"/>
      <c r="C611" s="69"/>
      <c r="D611" s="69"/>
      <c r="E611" s="69"/>
      <c r="F611" s="69"/>
      <c r="G611" s="69"/>
      <c r="I611" s="70"/>
      <c r="J611" s="70"/>
      <c r="K611" s="70"/>
      <c r="L611" s="70"/>
      <c r="M611" s="70"/>
      <c r="N611" s="70"/>
      <c r="P611" s="71"/>
    </row>
    <row r="612" spans="2:16" x14ac:dyDescent="0.2">
      <c r="B612" s="68"/>
      <c r="C612" s="69"/>
      <c r="D612" s="69"/>
      <c r="E612" s="69"/>
      <c r="F612" s="69"/>
      <c r="G612" s="69"/>
      <c r="I612" s="70"/>
      <c r="J612" s="70"/>
      <c r="K612" s="70"/>
      <c r="L612" s="70"/>
      <c r="M612" s="70"/>
      <c r="N612" s="70"/>
      <c r="P612" s="71"/>
    </row>
    <row r="613" spans="2:16" x14ac:dyDescent="0.2">
      <c r="B613" s="68"/>
      <c r="C613" s="69"/>
      <c r="D613" s="69"/>
      <c r="E613" s="69"/>
      <c r="F613" s="69"/>
      <c r="G613" s="69"/>
      <c r="I613" s="70"/>
      <c r="J613" s="70"/>
      <c r="K613" s="70"/>
      <c r="L613" s="70"/>
      <c r="M613" s="70"/>
      <c r="N613" s="70"/>
      <c r="P613" s="71"/>
    </row>
    <row r="614" spans="2:16" x14ac:dyDescent="0.2">
      <c r="B614" s="68"/>
      <c r="C614" s="69"/>
      <c r="D614" s="69"/>
      <c r="E614" s="69"/>
      <c r="F614" s="69"/>
      <c r="G614" s="69"/>
      <c r="I614" s="70"/>
      <c r="J614" s="70"/>
      <c r="K614" s="70"/>
      <c r="L614" s="70"/>
      <c r="M614" s="70"/>
      <c r="N614" s="70"/>
      <c r="P614" s="71"/>
    </row>
    <row r="615" spans="2:16" x14ac:dyDescent="0.2">
      <c r="B615" s="68"/>
      <c r="C615" s="69"/>
      <c r="D615" s="69"/>
      <c r="E615" s="69"/>
      <c r="F615" s="69"/>
      <c r="G615" s="69"/>
      <c r="I615" s="70"/>
      <c r="J615" s="70"/>
      <c r="K615" s="70"/>
      <c r="L615" s="70"/>
      <c r="M615" s="70"/>
      <c r="N615" s="70"/>
      <c r="P615" s="71"/>
    </row>
    <row r="616" spans="2:16" x14ac:dyDescent="0.2">
      <c r="B616" s="68"/>
      <c r="C616" s="69"/>
      <c r="D616" s="69"/>
      <c r="E616" s="69"/>
      <c r="F616" s="69"/>
      <c r="G616" s="69"/>
      <c r="I616" s="70"/>
      <c r="J616" s="70"/>
      <c r="K616" s="70"/>
      <c r="L616" s="70"/>
      <c r="M616" s="70"/>
      <c r="N616" s="70"/>
      <c r="P616" s="71"/>
    </row>
    <row r="617" spans="2:16" x14ac:dyDescent="0.2">
      <c r="B617" s="68"/>
      <c r="C617" s="69"/>
      <c r="D617" s="69"/>
      <c r="E617" s="69"/>
      <c r="F617" s="69"/>
      <c r="G617" s="69"/>
      <c r="I617" s="70"/>
      <c r="J617" s="70"/>
      <c r="K617" s="70"/>
      <c r="L617" s="70"/>
      <c r="M617" s="70"/>
      <c r="N617" s="70"/>
      <c r="P617" s="71"/>
    </row>
    <row r="618" spans="2:16" x14ac:dyDescent="0.2">
      <c r="B618" s="68"/>
      <c r="C618" s="69"/>
      <c r="D618" s="69"/>
      <c r="E618" s="69"/>
      <c r="F618" s="69"/>
      <c r="G618" s="69"/>
      <c r="I618" s="70"/>
      <c r="J618" s="70"/>
      <c r="K618" s="70"/>
      <c r="L618" s="70"/>
      <c r="M618" s="70"/>
      <c r="N618" s="70"/>
      <c r="P618" s="71"/>
    </row>
    <row r="619" spans="2:16" x14ac:dyDescent="0.2">
      <c r="B619" s="68"/>
      <c r="C619" s="69"/>
      <c r="D619" s="69"/>
      <c r="E619" s="69"/>
      <c r="F619" s="69"/>
      <c r="G619" s="69"/>
      <c r="I619" s="70"/>
      <c r="J619" s="70"/>
      <c r="K619" s="70"/>
      <c r="L619" s="70"/>
      <c r="M619" s="70"/>
      <c r="N619" s="70"/>
      <c r="P619" s="71"/>
    </row>
    <row r="620" spans="2:16" x14ac:dyDescent="0.2">
      <c r="B620" s="68"/>
      <c r="C620" s="69"/>
      <c r="D620" s="69"/>
      <c r="E620" s="69"/>
      <c r="F620" s="69"/>
      <c r="G620" s="69"/>
      <c r="I620" s="70"/>
      <c r="J620" s="70"/>
      <c r="K620" s="70"/>
      <c r="L620" s="70"/>
      <c r="M620" s="70"/>
      <c r="N620" s="70"/>
      <c r="P620" s="71"/>
    </row>
    <row r="621" spans="2:16" x14ac:dyDescent="0.2">
      <c r="B621" s="68"/>
      <c r="C621" s="69"/>
      <c r="D621" s="69"/>
      <c r="E621" s="69"/>
      <c r="F621" s="69"/>
      <c r="G621" s="69"/>
      <c r="I621" s="70"/>
      <c r="J621" s="70"/>
      <c r="K621" s="70"/>
      <c r="L621" s="70"/>
      <c r="M621" s="70"/>
      <c r="N621" s="70"/>
      <c r="P621" s="71"/>
    </row>
    <row r="622" spans="2:16" x14ac:dyDescent="0.2">
      <c r="B622" s="68"/>
      <c r="C622" s="69"/>
      <c r="D622" s="69"/>
      <c r="E622" s="69"/>
      <c r="F622" s="69"/>
      <c r="G622" s="69"/>
      <c r="I622" s="70"/>
      <c r="J622" s="70"/>
      <c r="K622" s="70"/>
      <c r="L622" s="70"/>
      <c r="M622" s="70"/>
      <c r="N622" s="70"/>
      <c r="P622" s="71"/>
    </row>
    <row r="623" spans="2:16" x14ac:dyDescent="0.2">
      <c r="B623" s="68"/>
      <c r="C623" s="69"/>
      <c r="D623" s="69"/>
      <c r="E623" s="69"/>
      <c r="F623" s="69"/>
      <c r="G623" s="69"/>
      <c r="I623" s="70"/>
      <c r="J623" s="70"/>
      <c r="K623" s="70"/>
      <c r="L623" s="70"/>
      <c r="M623" s="70"/>
      <c r="N623" s="70"/>
      <c r="P623" s="71"/>
    </row>
    <row r="624" spans="2:16" x14ac:dyDescent="0.2">
      <c r="B624" s="68"/>
      <c r="C624" s="69"/>
      <c r="D624" s="69"/>
      <c r="E624" s="69"/>
      <c r="F624" s="69"/>
      <c r="G624" s="69"/>
      <c r="I624" s="70"/>
      <c r="J624" s="70"/>
      <c r="K624" s="70"/>
      <c r="L624" s="70"/>
      <c r="M624" s="70"/>
      <c r="N624" s="70"/>
      <c r="P624" s="71"/>
    </row>
    <row r="625" spans="2:16" x14ac:dyDescent="0.2">
      <c r="B625" s="68"/>
      <c r="C625" s="69"/>
      <c r="D625" s="69"/>
      <c r="E625" s="69"/>
      <c r="F625" s="69"/>
      <c r="G625" s="69"/>
      <c r="I625" s="70"/>
      <c r="J625" s="70"/>
      <c r="K625" s="70"/>
      <c r="L625" s="70"/>
      <c r="M625" s="70"/>
      <c r="N625" s="70"/>
      <c r="P625" s="71"/>
    </row>
    <row r="626" spans="2:16" x14ac:dyDescent="0.2">
      <c r="B626" s="68"/>
      <c r="C626" s="69"/>
      <c r="D626" s="69"/>
      <c r="E626" s="69"/>
      <c r="F626" s="69"/>
      <c r="G626" s="69"/>
      <c r="I626" s="70"/>
      <c r="J626" s="70"/>
      <c r="K626" s="70"/>
      <c r="L626" s="70"/>
      <c r="M626" s="70"/>
      <c r="N626" s="70"/>
      <c r="P626" s="71"/>
    </row>
    <row r="627" spans="2:16" x14ac:dyDescent="0.2">
      <c r="B627" s="68"/>
      <c r="C627" s="69"/>
      <c r="D627" s="69"/>
      <c r="E627" s="69"/>
      <c r="F627" s="69"/>
      <c r="G627" s="69"/>
      <c r="I627" s="70"/>
      <c r="J627" s="70"/>
      <c r="K627" s="70"/>
      <c r="L627" s="70"/>
      <c r="M627" s="70"/>
      <c r="N627" s="70"/>
      <c r="P627" s="71"/>
    </row>
    <row r="628" spans="2:16" x14ac:dyDescent="0.2">
      <c r="B628" s="68"/>
      <c r="C628" s="69"/>
      <c r="D628" s="69"/>
      <c r="E628" s="69"/>
      <c r="F628" s="69"/>
      <c r="G628" s="69"/>
      <c r="I628" s="70"/>
      <c r="J628" s="70"/>
      <c r="K628" s="70"/>
      <c r="L628" s="70"/>
      <c r="M628" s="70"/>
      <c r="N628" s="70"/>
      <c r="P628" s="71"/>
    </row>
    <row r="629" spans="2:16" x14ac:dyDescent="0.2">
      <c r="B629" s="68"/>
      <c r="C629" s="69"/>
      <c r="D629" s="69"/>
      <c r="E629" s="69"/>
      <c r="F629" s="69"/>
      <c r="G629" s="69"/>
      <c r="I629" s="70"/>
      <c r="J629" s="70"/>
      <c r="K629" s="70"/>
      <c r="L629" s="70"/>
      <c r="M629" s="70"/>
      <c r="N629" s="70"/>
      <c r="P629" s="71"/>
    </row>
    <row r="630" spans="2:16" x14ac:dyDescent="0.2">
      <c r="B630" s="68"/>
      <c r="C630" s="69"/>
      <c r="D630" s="69"/>
      <c r="E630" s="69"/>
      <c r="F630" s="69"/>
      <c r="G630" s="69"/>
      <c r="I630" s="70"/>
      <c r="J630" s="70"/>
      <c r="K630" s="70"/>
      <c r="L630" s="70"/>
      <c r="M630" s="70"/>
      <c r="N630" s="70"/>
      <c r="P630" s="71"/>
    </row>
    <row r="631" spans="2:16" x14ac:dyDescent="0.2">
      <c r="B631" s="68"/>
      <c r="C631" s="69"/>
      <c r="D631" s="69"/>
      <c r="E631" s="69"/>
      <c r="F631" s="69"/>
      <c r="G631" s="69"/>
      <c r="I631" s="70"/>
      <c r="J631" s="70"/>
      <c r="K631" s="70"/>
      <c r="L631" s="70"/>
      <c r="M631" s="70"/>
      <c r="N631" s="70"/>
      <c r="P631" s="71"/>
    </row>
    <row r="632" spans="2:16" x14ac:dyDescent="0.2">
      <c r="B632" s="68"/>
      <c r="C632" s="69"/>
      <c r="D632" s="69"/>
      <c r="E632" s="69"/>
      <c r="F632" s="69"/>
      <c r="G632" s="69"/>
      <c r="I632" s="70"/>
      <c r="J632" s="70"/>
      <c r="K632" s="70"/>
      <c r="L632" s="70"/>
      <c r="M632" s="70"/>
      <c r="N632" s="70"/>
      <c r="P632" s="71"/>
    </row>
    <row r="633" spans="2:16" x14ac:dyDescent="0.2">
      <c r="B633" s="68"/>
      <c r="C633" s="69"/>
      <c r="D633" s="69"/>
      <c r="E633" s="69"/>
      <c r="F633" s="69"/>
      <c r="G633" s="69"/>
      <c r="I633" s="70"/>
      <c r="J633" s="70"/>
      <c r="K633" s="70"/>
      <c r="L633" s="70"/>
      <c r="M633" s="70"/>
      <c r="N633" s="70"/>
      <c r="P633" s="71"/>
    </row>
    <row r="634" spans="2:16" x14ac:dyDescent="0.2">
      <c r="B634" s="68"/>
      <c r="C634" s="69"/>
      <c r="D634" s="69"/>
      <c r="E634" s="69"/>
      <c r="F634" s="69"/>
      <c r="G634" s="69"/>
      <c r="I634" s="70"/>
      <c r="J634" s="70"/>
      <c r="K634" s="70"/>
      <c r="L634" s="70"/>
      <c r="M634" s="70"/>
      <c r="N634" s="70"/>
      <c r="P634" s="71"/>
    </row>
    <row r="635" spans="2:16" x14ac:dyDescent="0.2">
      <c r="B635" s="68"/>
      <c r="C635" s="69"/>
      <c r="D635" s="69"/>
      <c r="E635" s="69"/>
      <c r="F635" s="69"/>
      <c r="G635" s="69"/>
      <c r="I635" s="70"/>
      <c r="J635" s="70"/>
      <c r="K635" s="70"/>
      <c r="L635" s="70"/>
      <c r="M635" s="70"/>
      <c r="N635" s="70"/>
      <c r="P635" s="71"/>
    </row>
    <row r="636" spans="2:16" x14ac:dyDescent="0.2">
      <c r="B636" s="68"/>
      <c r="C636" s="69"/>
      <c r="D636" s="69"/>
      <c r="E636" s="69"/>
      <c r="F636" s="69"/>
      <c r="G636" s="69"/>
      <c r="I636" s="70"/>
      <c r="J636" s="70"/>
      <c r="K636" s="70"/>
      <c r="L636" s="70"/>
      <c r="M636" s="70"/>
      <c r="N636" s="70"/>
      <c r="P636" s="71"/>
    </row>
    <row r="637" spans="2:16" x14ac:dyDescent="0.2">
      <c r="B637" s="68"/>
      <c r="C637" s="69"/>
      <c r="D637" s="69"/>
      <c r="E637" s="69"/>
      <c r="F637" s="69"/>
      <c r="G637" s="69"/>
      <c r="I637" s="70"/>
      <c r="J637" s="70"/>
      <c r="K637" s="70"/>
      <c r="L637" s="70"/>
      <c r="M637" s="70"/>
      <c r="N637" s="70"/>
      <c r="P637" s="71"/>
    </row>
    <row r="638" spans="2:16" x14ac:dyDescent="0.2">
      <c r="B638" s="68"/>
      <c r="C638" s="69"/>
      <c r="D638" s="69"/>
      <c r="E638" s="69"/>
      <c r="F638" s="69"/>
      <c r="G638" s="69"/>
      <c r="I638" s="70"/>
      <c r="J638" s="70"/>
      <c r="K638" s="70"/>
      <c r="L638" s="70"/>
      <c r="M638" s="70"/>
      <c r="N638" s="70"/>
      <c r="P638" s="71"/>
    </row>
    <row r="639" spans="2:16" x14ac:dyDescent="0.2">
      <c r="B639" s="68"/>
      <c r="C639" s="69"/>
      <c r="D639" s="69"/>
      <c r="E639" s="69"/>
      <c r="F639" s="69"/>
      <c r="G639" s="69"/>
      <c r="I639" s="70"/>
      <c r="J639" s="70"/>
      <c r="K639" s="70"/>
      <c r="L639" s="70"/>
      <c r="M639" s="70"/>
      <c r="N639" s="70"/>
      <c r="P639" s="71"/>
    </row>
    <row r="640" spans="2:16" x14ac:dyDescent="0.2">
      <c r="B640" s="68"/>
      <c r="C640" s="69"/>
      <c r="D640" s="69"/>
      <c r="E640" s="69"/>
      <c r="F640" s="69"/>
      <c r="G640" s="69"/>
      <c r="I640" s="70"/>
      <c r="J640" s="70"/>
      <c r="K640" s="70"/>
      <c r="L640" s="70"/>
      <c r="M640" s="70"/>
      <c r="N640" s="70"/>
      <c r="P640" s="71"/>
    </row>
    <row r="641" spans="2:16" x14ac:dyDescent="0.2">
      <c r="B641" s="68"/>
      <c r="C641" s="69"/>
      <c r="D641" s="69"/>
      <c r="E641" s="69"/>
      <c r="F641" s="69"/>
      <c r="G641" s="69"/>
      <c r="I641" s="70"/>
      <c r="J641" s="70"/>
      <c r="K641" s="70"/>
      <c r="L641" s="70"/>
      <c r="M641" s="70"/>
      <c r="N641" s="70"/>
      <c r="P641" s="71"/>
    </row>
    <row r="642" spans="2:16" x14ac:dyDescent="0.2">
      <c r="B642" s="68"/>
      <c r="C642" s="69"/>
      <c r="D642" s="69"/>
      <c r="E642" s="69"/>
      <c r="F642" s="69"/>
      <c r="G642" s="69"/>
      <c r="I642" s="70"/>
      <c r="J642" s="70"/>
      <c r="K642" s="70"/>
      <c r="L642" s="70"/>
      <c r="M642" s="70"/>
      <c r="N642" s="70"/>
      <c r="P642" s="71"/>
    </row>
    <row r="643" spans="2:16" x14ac:dyDescent="0.2">
      <c r="B643" s="68"/>
      <c r="C643" s="69"/>
      <c r="D643" s="69"/>
      <c r="E643" s="69"/>
      <c r="F643" s="69"/>
      <c r="G643" s="69"/>
      <c r="I643" s="70"/>
      <c r="J643" s="70"/>
      <c r="K643" s="70"/>
      <c r="L643" s="70"/>
      <c r="M643" s="70"/>
      <c r="N643" s="70"/>
      <c r="P643" s="71"/>
    </row>
    <row r="644" spans="2:16" x14ac:dyDescent="0.2">
      <c r="B644" s="68"/>
      <c r="C644" s="69"/>
      <c r="D644" s="69"/>
      <c r="E644" s="69"/>
      <c r="F644" s="69"/>
      <c r="G644" s="69"/>
      <c r="I644" s="70"/>
      <c r="J644" s="70"/>
      <c r="K644" s="70"/>
      <c r="L644" s="70"/>
      <c r="M644" s="70"/>
      <c r="N644" s="70"/>
      <c r="P644" s="71"/>
    </row>
    <row r="645" spans="2:16" x14ac:dyDescent="0.2">
      <c r="B645" s="68"/>
      <c r="C645" s="69"/>
      <c r="D645" s="69"/>
      <c r="E645" s="69"/>
      <c r="F645" s="69"/>
      <c r="G645" s="69"/>
      <c r="I645" s="70"/>
      <c r="J645" s="70"/>
      <c r="K645" s="70"/>
      <c r="L645" s="70"/>
      <c r="M645" s="70"/>
      <c r="N645" s="70"/>
      <c r="P645" s="71"/>
    </row>
    <row r="646" spans="2:16" x14ac:dyDescent="0.2">
      <c r="B646" s="68"/>
      <c r="C646" s="69"/>
      <c r="D646" s="69"/>
      <c r="E646" s="69"/>
      <c r="F646" s="69"/>
      <c r="G646" s="69"/>
      <c r="I646" s="70"/>
      <c r="J646" s="70"/>
      <c r="K646" s="70"/>
      <c r="L646" s="70"/>
      <c r="M646" s="70"/>
      <c r="N646" s="70"/>
      <c r="P646" s="71"/>
    </row>
    <row r="647" spans="2:16" x14ac:dyDescent="0.2">
      <c r="B647" s="68"/>
      <c r="C647" s="69"/>
      <c r="D647" s="69"/>
      <c r="E647" s="69"/>
      <c r="F647" s="69"/>
      <c r="G647" s="69"/>
      <c r="I647" s="70"/>
      <c r="J647" s="70"/>
      <c r="K647" s="70"/>
      <c r="L647" s="70"/>
      <c r="M647" s="70"/>
      <c r="N647" s="70"/>
      <c r="P647" s="71"/>
    </row>
    <row r="648" spans="2:16" x14ac:dyDescent="0.2">
      <c r="B648" s="68"/>
      <c r="C648" s="69"/>
      <c r="D648" s="69"/>
      <c r="E648" s="69"/>
      <c r="F648" s="69"/>
      <c r="G648" s="69"/>
      <c r="I648" s="70"/>
      <c r="J648" s="70"/>
      <c r="K648" s="70"/>
      <c r="L648" s="70"/>
      <c r="M648" s="70"/>
      <c r="N648" s="70"/>
      <c r="P648" s="71"/>
    </row>
    <row r="649" spans="2:16" x14ac:dyDescent="0.2">
      <c r="B649" s="68"/>
      <c r="C649" s="69"/>
      <c r="D649" s="69"/>
      <c r="E649" s="69"/>
      <c r="F649" s="69"/>
      <c r="G649" s="69"/>
      <c r="I649" s="70"/>
      <c r="J649" s="70"/>
      <c r="K649" s="70"/>
      <c r="L649" s="70"/>
      <c r="M649" s="70"/>
      <c r="N649" s="70"/>
      <c r="P649" s="71"/>
    </row>
    <row r="650" spans="2:16" x14ac:dyDescent="0.2">
      <c r="B650" s="68"/>
      <c r="C650" s="69"/>
      <c r="D650" s="69"/>
      <c r="E650" s="69"/>
      <c r="F650" s="69"/>
      <c r="G650" s="69"/>
      <c r="I650" s="70"/>
      <c r="J650" s="70"/>
      <c r="K650" s="70"/>
      <c r="L650" s="70"/>
      <c r="M650" s="70"/>
      <c r="N650" s="70"/>
      <c r="P650" s="71"/>
    </row>
    <row r="651" spans="2:16" x14ac:dyDescent="0.2">
      <c r="B651" s="68"/>
      <c r="C651" s="69"/>
      <c r="D651" s="69"/>
      <c r="E651" s="69"/>
      <c r="F651" s="69"/>
      <c r="G651" s="69"/>
      <c r="I651" s="70"/>
      <c r="J651" s="70"/>
      <c r="K651" s="70"/>
      <c r="L651" s="70"/>
      <c r="M651" s="70"/>
      <c r="N651" s="70"/>
      <c r="P651" s="71"/>
    </row>
    <row r="652" spans="2:16" x14ac:dyDescent="0.2">
      <c r="B652" s="68"/>
      <c r="C652" s="69"/>
      <c r="D652" s="69"/>
      <c r="E652" s="69"/>
      <c r="F652" s="69"/>
      <c r="G652" s="69"/>
      <c r="I652" s="70"/>
      <c r="J652" s="70"/>
      <c r="K652" s="70"/>
      <c r="L652" s="70"/>
      <c r="M652" s="70"/>
      <c r="N652" s="70"/>
      <c r="P652" s="71"/>
    </row>
    <row r="653" spans="2:16" x14ac:dyDescent="0.2">
      <c r="B653" s="68"/>
      <c r="C653" s="69"/>
      <c r="D653" s="69"/>
      <c r="E653" s="69"/>
      <c r="F653" s="69"/>
      <c r="G653" s="69"/>
      <c r="I653" s="70"/>
      <c r="J653" s="70"/>
      <c r="K653" s="70"/>
      <c r="L653" s="70"/>
      <c r="M653" s="70"/>
      <c r="N653" s="70"/>
      <c r="P653" s="71"/>
    </row>
    <row r="654" spans="2:16" x14ac:dyDescent="0.2">
      <c r="B654" s="68"/>
      <c r="C654" s="69"/>
      <c r="D654" s="69"/>
      <c r="E654" s="69"/>
      <c r="F654" s="69"/>
      <c r="G654" s="69"/>
      <c r="I654" s="70"/>
      <c r="J654" s="70"/>
      <c r="K654" s="70"/>
      <c r="L654" s="70"/>
      <c r="M654" s="70"/>
      <c r="N654" s="70"/>
      <c r="P654" s="71"/>
    </row>
    <row r="655" spans="2:16" x14ac:dyDescent="0.2">
      <c r="B655" s="68"/>
      <c r="C655" s="69"/>
      <c r="D655" s="69"/>
      <c r="E655" s="69"/>
      <c r="F655" s="69"/>
      <c r="G655" s="69"/>
      <c r="I655" s="70"/>
      <c r="J655" s="70"/>
      <c r="K655" s="70"/>
      <c r="L655" s="70"/>
      <c r="M655" s="70"/>
      <c r="N655" s="70"/>
      <c r="P655" s="71"/>
    </row>
    <row r="656" spans="2:16" x14ac:dyDescent="0.2">
      <c r="B656" s="68"/>
      <c r="C656" s="69"/>
      <c r="D656" s="69"/>
      <c r="E656" s="69"/>
      <c r="F656" s="69"/>
      <c r="G656" s="69"/>
      <c r="I656" s="70"/>
      <c r="J656" s="70"/>
      <c r="K656" s="70"/>
      <c r="L656" s="70"/>
      <c r="M656" s="70"/>
      <c r="N656" s="70"/>
      <c r="P656" s="71"/>
    </row>
    <row r="657" spans="2:16" x14ac:dyDescent="0.2">
      <c r="B657" s="68"/>
      <c r="C657" s="69"/>
      <c r="D657" s="69"/>
      <c r="E657" s="69"/>
      <c r="F657" s="69"/>
      <c r="G657" s="69"/>
      <c r="I657" s="70"/>
      <c r="J657" s="70"/>
      <c r="K657" s="70"/>
      <c r="L657" s="70"/>
      <c r="M657" s="70"/>
      <c r="N657" s="70"/>
      <c r="P657" s="71"/>
    </row>
    <row r="658" spans="2:16" x14ac:dyDescent="0.2">
      <c r="B658" s="68"/>
      <c r="C658" s="69"/>
      <c r="D658" s="69"/>
      <c r="E658" s="69"/>
      <c r="F658" s="69"/>
      <c r="G658" s="69"/>
      <c r="I658" s="70"/>
      <c r="J658" s="70"/>
      <c r="K658" s="70"/>
      <c r="L658" s="70"/>
      <c r="M658" s="70"/>
      <c r="N658" s="70"/>
      <c r="P658" s="71"/>
    </row>
    <row r="659" spans="2:16" x14ac:dyDescent="0.2">
      <c r="B659" s="68"/>
      <c r="C659" s="69"/>
      <c r="D659" s="69"/>
      <c r="E659" s="69"/>
      <c r="F659" s="69"/>
      <c r="G659" s="69"/>
      <c r="I659" s="70"/>
      <c r="J659" s="70"/>
      <c r="K659" s="70"/>
      <c r="L659" s="70"/>
      <c r="M659" s="70"/>
      <c r="N659" s="70"/>
      <c r="P659" s="71"/>
    </row>
    <row r="660" spans="2:16" x14ac:dyDescent="0.2">
      <c r="B660" s="68"/>
      <c r="C660" s="69"/>
      <c r="D660" s="69"/>
      <c r="E660" s="69"/>
      <c r="F660" s="69"/>
      <c r="G660" s="69"/>
      <c r="I660" s="70"/>
      <c r="J660" s="70"/>
      <c r="K660" s="70"/>
      <c r="L660" s="70"/>
      <c r="M660" s="70"/>
      <c r="N660" s="70"/>
      <c r="P660" s="71"/>
    </row>
    <row r="661" spans="2:16" x14ac:dyDescent="0.2">
      <c r="B661" s="68"/>
      <c r="C661" s="69"/>
      <c r="D661" s="69"/>
      <c r="E661" s="69"/>
      <c r="F661" s="69"/>
      <c r="G661" s="69"/>
      <c r="I661" s="70"/>
      <c r="J661" s="70"/>
      <c r="K661" s="70"/>
      <c r="L661" s="70"/>
      <c r="M661" s="70"/>
      <c r="N661" s="70"/>
      <c r="P661" s="71"/>
    </row>
    <row r="662" spans="2:16" x14ac:dyDescent="0.2">
      <c r="B662" s="68"/>
      <c r="C662" s="69"/>
      <c r="D662" s="69"/>
      <c r="E662" s="69"/>
      <c r="F662" s="69"/>
      <c r="G662" s="69"/>
      <c r="I662" s="70"/>
      <c r="J662" s="70"/>
      <c r="K662" s="70"/>
      <c r="L662" s="70"/>
      <c r="M662" s="70"/>
      <c r="N662" s="70"/>
      <c r="P662" s="71"/>
    </row>
    <row r="663" spans="2:16" x14ac:dyDescent="0.2">
      <c r="B663" s="68"/>
      <c r="C663" s="69"/>
      <c r="D663" s="69"/>
      <c r="E663" s="69"/>
      <c r="F663" s="69"/>
      <c r="G663" s="69"/>
      <c r="I663" s="70"/>
      <c r="J663" s="70"/>
      <c r="K663" s="70"/>
      <c r="L663" s="70"/>
      <c r="M663" s="70"/>
      <c r="N663" s="70"/>
      <c r="P663" s="71"/>
    </row>
    <row r="664" spans="2:16" x14ac:dyDescent="0.2">
      <c r="B664" s="68"/>
      <c r="C664" s="69"/>
      <c r="D664" s="69"/>
      <c r="E664" s="69"/>
      <c r="F664" s="69"/>
      <c r="G664" s="69"/>
      <c r="I664" s="70"/>
      <c r="J664" s="70"/>
      <c r="K664" s="70"/>
      <c r="L664" s="70"/>
      <c r="M664" s="70"/>
      <c r="N664" s="70"/>
      <c r="P664" s="71"/>
    </row>
    <row r="665" spans="2:16" x14ac:dyDescent="0.2">
      <c r="B665" s="68"/>
      <c r="C665" s="69"/>
      <c r="D665" s="69"/>
      <c r="E665" s="69"/>
      <c r="F665" s="69"/>
      <c r="G665" s="69"/>
      <c r="I665" s="70"/>
      <c r="J665" s="70"/>
      <c r="K665" s="70"/>
      <c r="L665" s="70"/>
      <c r="M665" s="70"/>
      <c r="N665" s="70"/>
      <c r="P665" s="71"/>
    </row>
    <row r="666" spans="2:16" x14ac:dyDescent="0.2">
      <c r="B666" s="68"/>
      <c r="C666" s="69"/>
      <c r="D666" s="69"/>
      <c r="E666" s="69"/>
      <c r="F666" s="69"/>
      <c r="G666" s="69"/>
      <c r="I666" s="70"/>
      <c r="J666" s="70"/>
      <c r="K666" s="70"/>
      <c r="L666" s="70"/>
      <c r="M666" s="70"/>
      <c r="N666" s="70"/>
      <c r="P666" s="71"/>
    </row>
    <row r="667" spans="2:16" x14ac:dyDescent="0.2">
      <c r="B667" s="68"/>
      <c r="C667" s="69"/>
      <c r="D667" s="69"/>
      <c r="E667" s="69"/>
      <c r="F667" s="69"/>
      <c r="G667" s="69"/>
      <c r="I667" s="70"/>
      <c r="J667" s="70"/>
      <c r="K667" s="70"/>
      <c r="L667" s="70"/>
      <c r="M667" s="70"/>
      <c r="N667" s="70"/>
      <c r="P667" s="71"/>
    </row>
    <row r="668" spans="2:16" x14ac:dyDescent="0.2">
      <c r="B668" s="68"/>
      <c r="C668" s="69"/>
      <c r="D668" s="69"/>
      <c r="E668" s="69"/>
      <c r="F668" s="69"/>
      <c r="G668" s="69"/>
      <c r="I668" s="70"/>
      <c r="J668" s="70"/>
      <c r="K668" s="70"/>
      <c r="L668" s="70"/>
      <c r="M668" s="70"/>
      <c r="N668" s="70"/>
      <c r="P668" s="71"/>
    </row>
    <row r="669" spans="2:16" x14ac:dyDescent="0.2">
      <c r="B669" s="68"/>
      <c r="C669" s="69"/>
      <c r="D669" s="69"/>
      <c r="E669" s="69"/>
      <c r="F669" s="69"/>
      <c r="G669" s="69"/>
      <c r="I669" s="70"/>
      <c r="J669" s="70"/>
      <c r="K669" s="70"/>
      <c r="L669" s="70"/>
      <c r="M669" s="70"/>
      <c r="N669" s="70"/>
      <c r="P669" s="71"/>
    </row>
    <row r="670" spans="2:16" x14ac:dyDescent="0.2">
      <c r="B670" s="68"/>
      <c r="C670" s="69"/>
      <c r="D670" s="69"/>
      <c r="E670" s="69"/>
      <c r="F670" s="69"/>
      <c r="G670" s="69"/>
      <c r="I670" s="70"/>
      <c r="J670" s="70"/>
      <c r="K670" s="70"/>
      <c r="L670" s="70"/>
      <c r="M670" s="70"/>
      <c r="N670" s="70"/>
      <c r="P670" s="71"/>
    </row>
    <row r="671" spans="2:16" x14ac:dyDescent="0.2">
      <c r="B671" s="68"/>
      <c r="C671" s="69"/>
      <c r="D671" s="69"/>
      <c r="E671" s="69"/>
      <c r="F671" s="69"/>
      <c r="G671" s="69"/>
      <c r="I671" s="70"/>
      <c r="J671" s="70"/>
      <c r="K671" s="70"/>
      <c r="L671" s="70"/>
      <c r="M671" s="70"/>
      <c r="N671" s="70"/>
      <c r="P671" s="71"/>
    </row>
    <row r="672" spans="2:16" x14ac:dyDescent="0.2">
      <c r="B672" s="68"/>
      <c r="C672" s="69"/>
      <c r="D672" s="69"/>
      <c r="E672" s="69"/>
      <c r="F672" s="69"/>
      <c r="G672" s="69"/>
      <c r="I672" s="70"/>
      <c r="J672" s="70"/>
      <c r="K672" s="70"/>
      <c r="L672" s="70"/>
      <c r="M672" s="70"/>
      <c r="N672" s="70"/>
      <c r="P672" s="71"/>
    </row>
    <row r="673" spans="2:16" x14ac:dyDescent="0.2">
      <c r="B673" s="68"/>
      <c r="C673" s="69"/>
      <c r="D673" s="69"/>
      <c r="E673" s="69"/>
      <c r="F673" s="69"/>
      <c r="G673" s="69"/>
      <c r="I673" s="70"/>
      <c r="J673" s="70"/>
      <c r="K673" s="70"/>
      <c r="L673" s="70"/>
      <c r="M673" s="70"/>
      <c r="N673" s="70"/>
      <c r="P673" s="71"/>
    </row>
    <row r="674" spans="2:16" x14ac:dyDescent="0.2">
      <c r="B674" s="68"/>
      <c r="C674" s="69"/>
      <c r="D674" s="69"/>
      <c r="E674" s="69"/>
      <c r="F674" s="69"/>
      <c r="G674" s="69"/>
      <c r="I674" s="70"/>
      <c r="J674" s="70"/>
      <c r="K674" s="70"/>
      <c r="L674" s="70"/>
      <c r="M674" s="70"/>
      <c r="N674" s="70"/>
      <c r="P674" s="71"/>
    </row>
    <row r="675" spans="2:16" x14ac:dyDescent="0.2">
      <c r="B675" s="68"/>
      <c r="C675" s="69"/>
      <c r="D675" s="69"/>
      <c r="E675" s="69"/>
      <c r="F675" s="69"/>
      <c r="G675" s="69"/>
      <c r="I675" s="70"/>
      <c r="J675" s="70"/>
      <c r="K675" s="70"/>
      <c r="L675" s="70"/>
      <c r="M675" s="70"/>
      <c r="N675" s="70"/>
      <c r="P675" s="71"/>
    </row>
    <row r="676" spans="2:16" x14ac:dyDescent="0.2">
      <c r="B676" s="68"/>
      <c r="C676" s="69"/>
      <c r="D676" s="69"/>
      <c r="E676" s="69"/>
      <c r="F676" s="69"/>
      <c r="G676" s="69"/>
      <c r="I676" s="70"/>
      <c r="J676" s="70"/>
      <c r="K676" s="70"/>
      <c r="L676" s="70"/>
      <c r="M676" s="70"/>
      <c r="N676" s="70"/>
      <c r="P676" s="71"/>
    </row>
    <row r="677" spans="2:16" x14ac:dyDescent="0.2">
      <c r="B677" s="68"/>
      <c r="C677" s="69"/>
      <c r="D677" s="69"/>
      <c r="E677" s="69"/>
      <c r="F677" s="69"/>
      <c r="G677" s="69"/>
      <c r="I677" s="70"/>
      <c r="J677" s="70"/>
      <c r="K677" s="70"/>
      <c r="L677" s="70"/>
      <c r="M677" s="70"/>
      <c r="N677" s="70"/>
      <c r="P677" s="71"/>
    </row>
    <row r="678" spans="2:16" x14ac:dyDescent="0.2">
      <c r="B678" s="68"/>
      <c r="C678" s="69"/>
      <c r="D678" s="69"/>
      <c r="E678" s="69"/>
      <c r="F678" s="69"/>
      <c r="G678" s="69"/>
      <c r="I678" s="70"/>
      <c r="J678" s="70"/>
      <c r="K678" s="70"/>
      <c r="L678" s="70"/>
      <c r="M678" s="70"/>
      <c r="N678" s="70"/>
      <c r="P678" s="71"/>
    </row>
    <row r="679" spans="2:16" x14ac:dyDescent="0.2">
      <c r="B679" s="68"/>
      <c r="C679" s="69"/>
      <c r="D679" s="69"/>
      <c r="E679" s="69"/>
      <c r="F679" s="69"/>
      <c r="G679" s="69"/>
      <c r="I679" s="70"/>
      <c r="J679" s="70"/>
      <c r="K679" s="70"/>
      <c r="L679" s="70"/>
      <c r="M679" s="70"/>
      <c r="N679" s="70"/>
      <c r="P679" s="71"/>
    </row>
    <row r="680" spans="2:16" x14ac:dyDescent="0.2">
      <c r="B680" s="68"/>
      <c r="C680" s="69"/>
      <c r="D680" s="69"/>
      <c r="E680" s="69"/>
      <c r="F680" s="69"/>
      <c r="G680" s="69"/>
      <c r="I680" s="70"/>
      <c r="J680" s="70"/>
      <c r="K680" s="70"/>
      <c r="L680" s="70"/>
      <c r="M680" s="70"/>
      <c r="N680" s="70"/>
      <c r="P680" s="71"/>
    </row>
    <row r="681" spans="2:16" x14ac:dyDescent="0.2">
      <c r="B681" s="68"/>
      <c r="C681" s="69"/>
      <c r="D681" s="69"/>
      <c r="E681" s="69"/>
      <c r="F681" s="69"/>
      <c r="G681" s="69"/>
      <c r="I681" s="70"/>
      <c r="J681" s="70"/>
      <c r="K681" s="70"/>
      <c r="L681" s="70"/>
      <c r="M681" s="70"/>
      <c r="N681" s="70"/>
      <c r="P681" s="71"/>
    </row>
    <row r="682" spans="2:16" x14ac:dyDescent="0.2">
      <c r="B682" s="68"/>
      <c r="C682" s="69"/>
      <c r="D682" s="69"/>
      <c r="E682" s="69"/>
      <c r="F682" s="69"/>
      <c r="G682" s="69"/>
      <c r="I682" s="70"/>
      <c r="J682" s="70"/>
      <c r="K682" s="70"/>
      <c r="L682" s="70"/>
      <c r="M682" s="70"/>
      <c r="N682" s="70"/>
      <c r="P682" s="71"/>
    </row>
    <row r="683" spans="2:16" x14ac:dyDescent="0.2">
      <c r="B683" s="68"/>
      <c r="C683" s="69"/>
      <c r="D683" s="69"/>
      <c r="E683" s="69"/>
      <c r="F683" s="69"/>
      <c r="G683" s="69"/>
      <c r="I683" s="70"/>
      <c r="J683" s="70"/>
      <c r="K683" s="70"/>
      <c r="L683" s="70"/>
      <c r="M683" s="70"/>
      <c r="N683" s="70"/>
      <c r="P683" s="71"/>
    </row>
    <row r="684" spans="2:16" x14ac:dyDescent="0.2">
      <c r="B684" s="68"/>
      <c r="C684" s="69"/>
      <c r="D684" s="69"/>
      <c r="E684" s="69"/>
      <c r="F684" s="69"/>
      <c r="G684" s="69"/>
      <c r="I684" s="70"/>
      <c r="J684" s="70"/>
      <c r="K684" s="70"/>
      <c r="L684" s="70"/>
      <c r="M684" s="70"/>
      <c r="N684" s="70"/>
      <c r="P684" s="71"/>
    </row>
    <row r="685" spans="2:16" x14ac:dyDescent="0.2">
      <c r="B685" s="68"/>
      <c r="C685" s="69"/>
      <c r="D685" s="69"/>
      <c r="E685" s="69"/>
      <c r="F685" s="69"/>
      <c r="G685" s="69"/>
      <c r="I685" s="70"/>
      <c r="J685" s="70"/>
      <c r="K685" s="70"/>
      <c r="L685" s="70"/>
      <c r="M685" s="70"/>
      <c r="N685" s="70"/>
      <c r="P685" s="71"/>
    </row>
    <row r="686" spans="2:16" x14ac:dyDescent="0.2">
      <c r="B686" s="68"/>
      <c r="C686" s="69"/>
      <c r="D686" s="69"/>
      <c r="E686" s="69"/>
      <c r="F686" s="69"/>
      <c r="G686" s="69"/>
      <c r="I686" s="70"/>
      <c r="J686" s="70"/>
      <c r="K686" s="70"/>
      <c r="L686" s="70"/>
      <c r="M686" s="70"/>
      <c r="N686" s="70"/>
      <c r="P686" s="71"/>
    </row>
    <row r="687" spans="2:16" x14ac:dyDescent="0.2">
      <c r="B687" s="68"/>
      <c r="C687" s="69"/>
      <c r="D687" s="69"/>
      <c r="E687" s="69"/>
      <c r="F687" s="69"/>
      <c r="G687" s="69"/>
      <c r="I687" s="70"/>
      <c r="J687" s="70"/>
      <c r="K687" s="70"/>
      <c r="L687" s="70"/>
      <c r="M687" s="70"/>
      <c r="N687" s="70"/>
      <c r="P687" s="71"/>
    </row>
    <row r="688" spans="2:16" x14ac:dyDescent="0.2">
      <c r="B688" s="68"/>
      <c r="C688" s="69"/>
      <c r="D688" s="69"/>
      <c r="E688" s="69"/>
      <c r="F688" s="69"/>
      <c r="G688" s="69"/>
      <c r="I688" s="70"/>
      <c r="J688" s="70"/>
      <c r="K688" s="70"/>
      <c r="L688" s="70"/>
      <c r="M688" s="70"/>
      <c r="N688" s="70"/>
      <c r="P688" s="71"/>
    </row>
    <row r="689" spans="2:16" x14ac:dyDescent="0.2">
      <c r="B689" s="68"/>
      <c r="C689" s="69"/>
      <c r="D689" s="69"/>
      <c r="E689" s="69"/>
      <c r="F689" s="69"/>
      <c r="G689" s="69"/>
      <c r="I689" s="70"/>
      <c r="J689" s="70"/>
      <c r="K689" s="70"/>
      <c r="L689" s="70"/>
      <c r="M689" s="70"/>
      <c r="N689" s="70"/>
      <c r="P689" s="71"/>
    </row>
    <row r="690" spans="2:16" x14ac:dyDescent="0.2">
      <c r="B690" s="68"/>
      <c r="C690" s="69"/>
      <c r="D690" s="69"/>
      <c r="E690" s="69"/>
      <c r="F690" s="69"/>
      <c r="G690" s="69"/>
      <c r="I690" s="70"/>
      <c r="J690" s="70"/>
      <c r="K690" s="70"/>
      <c r="L690" s="70"/>
      <c r="M690" s="70"/>
      <c r="N690" s="70"/>
      <c r="P690" s="71"/>
    </row>
    <row r="691" spans="2:16" x14ac:dyDescent="0.2">
      <c r="B691" s="68"/>
      <c r="C691" s="69"/>
      <c r="D691" s="69"/>
      <c r="E691" s="69"/>
      <c r="F691" s="69"/>
      <c r="G691" s="69"/>
      <c r="I691" s="70"/>
      <c r="J691" s="70"/>
      <c r="K691" s="70"/>
      <c r="L691" s="70"/>
      <c r="M691" s="70"/>
      <c r="N691" s="70"/>
      <c r="P691" s="71"/>
    </row>
    <row r="692" spans="2:16" x14ac:dyDescent="0.2">
      <c r="B692" s="68"/>
      <c r="C692" s="69"/>
      <c r="D692" s="69"/>
      <c r="E692" s="69"/>
      <c r="F692" s="69"/>
      <c r="G692" s="69"/>
      <c r="I692" s="70"/>
      <c r="J692" s="70"/>
      <c r="K692" s="70"/>
      <c r="L692" s="70"/>
      <c r="M692" s="70"/>
      <c r="N692" s="70"/>
      <c r="P692" s="71"/>
    </row>
    <row r="693" spans="2:16" x14ac:dyDescent="0.2">
      <c r="B693" s="68"/>
      <c r="C693" s="69"/>
      <c r="D693" s="69"/>
      <c r="E693" s="69"/>
      <c r="F693" s="69"/>
      <c r="G693" s="69"/>
      <c r="I693" s="70"/>
      <c r="J693" s="70"/>
      <c r="K693" s="70"/>
      <c r="L693" s="70"/>
      <c r="M693" s="70"/>
      <c r="N693" s="70"/>
      <c r="P693" s="71"/>
    </row>
    <row r="694" spans="2:16" x14ac:dyDescent="0.2">
      <c r="B694" s="68"/>
      <c r="C694" s="69"/>
      <c r="D694" s="69"/>
      <c r="E694" s="69"/>
      <c r="F694" s="69"/>
      <c r="G694" s="69"/>
      <c r="I694" s="70"/>
      <c r="J694" s="70"/>
      <c r="K694" s="70"/>
      <c r="L694" s="70"/>
      <c r="M694" s="70"/>
      <c r="N694" s="70"/>
      <c r="P694" s="71"/>
    </row>
    <row r="695" spans="2:16" x14ac:dyDescent="0.2">
      <c r="B695" s="68"/>
      <c r="C695" s="69"/>
      <c r="D695" s="69"/>
      <c r="E695" s="69"/>
      <c r="F695" s="69"/>
      <c r="G695" s="69"/>
      <c r="I695" s="70"/>
      <c r="J695" s="70"/>
      <c r="K695" s="70"/>
      <c r="L695" s="70"/>
      <c r="M695" s="70"/>
      <c r="N695" s="70"/>
      <c r="P695" s="71"/>
    </row>
    <row r="696" spans="2:16" x14ac:dyDescent="0.2">
      <c r="B696" s="68"/>
      <c r="C696" s="69"/>
      <c r="D696" s="69"/>
      <c r="E696" s="69"/>
      <c r="F696" s="69"/>
      <c r="G696" s="69"/>
      <c r="I696" s="70"/>
      <c r="J696" s="70"/>
      <c r="K696" s="70"/>
      <c r="L696" s="70"/>
      <c r="M696" s="70"/>
      <c r="N696" s="70"/>
      <c r="P696" s="71"/>
    </row>
    <row r="697" spans="2:16" x14ac:dyDescent="0.2">
      <c r="B697" s="68"/>
      <c r="C697" s="69"/>
      <c r="D697" s="69"/>
      <c r="E697" s="69"/>
      <c r="F697" s="69"/>
      <c r="G697" s="69"/>
      <c r="I697" s="70"/>
      <c r="J697" s="70"/>
      <c r="K697" s="70"/>
      <c r="L697" s="70"/>
      <c r="M697" s="70"/>
      <c r="N697" s="70"/>
      <c r="P697" s="71"/>
    </row>
    <row r="698" spans="2:16" x14ac:dyDescent="0.2">
      <c r="B698" s="68"/>
      <c r="C698" s="69"/>
      <c r="D698" s="69"/>
      <c r="E698" s="69"/>
      <c r="F698" s="69"/>
      <c r="G698" s="69"/>
      <c r="I698" s="70"/>
      <c r="J698" s="70"/>
      <c r="K698" s="70"/>
      <c r="L698" s="70"/>
      <c r="M698" s="70"/>
      <c r="N698" s="70"/>
      <c r="P698" s="71"/>
    </row>
    <row r="699" spans="2:16" x14ac:dyDescent="0.2">
      <c r="B699" s="68"/>
      <c r="C699" s="69"/>
      <c r="D699" s="69"/>
      <c r="E699" s="69"/>
      <c r="F699" s="69"/>
      <c r="G699" s="69"/>
      <c r="I699" s="70"/>
      <c r="J699" s="70"/>
      <c r="K699" s="70"/>
      <c r="L699" s="70"/>
      <c r="M699" s="70"/>
      <c r="N699" s="70"/>
      <c r="P699" s="71"/>
    </row>
    <row r="700" spans="2:16" x14ac:dyDescent="0.2">
      <c r="B700" s="68"/>
      <c r="C700" s="69"/>
      <c r="D700" s="69"/>
      <c r="E700" s="69"/>
      <c r="F700" s="69"/>
      <c r="G700" s="69"/>
      <c r="I700" s="70"/>
      <c r="J700" s="70"/>
      <c r="K700" s="70"/>
      <c r="L700" s="70"/>
      <c r="M700" s="70"/>
      <c r="N700" s="70"/>
      <c r="P700" s="71"/>
    </row>
    <row r="701" spans="2:16" x14ac:dyDescent="0.2">
      <c r="B701" s="68"/>
      <c r="C701" s="69"/>
      <c r="D701" s="69"/>
      <c r="E701" s="69"/>
      <c r="F701" s="69"/>
      <c r="G701" s="69"/>
      <c r="I701" s="70"/>
      <c r="J701" s="70"/>
      <c r="K701" s="70"/>
      <c r="L701" s="70"/>
      <c r="M701" s="70"/>
      <c r="N701" s="70"/>
      <c r="P701" s="71"/>
    </row>
    <row r="702" spans="2:16" x14ac:dyDescent="0.2">
      <c r="B702" s="68"/>
      <c r="C702" s="69"/>
      <c r="D702" s="69"/>
      <c r="E702" s="69"/>
      <c r="F702" s="69"/>
      <c r="G702" s="69"/>
      <c r="I702" s="70"/>
      <c r="J702" s="70"/>
      <c r="K702" s="70"/>
      <c r="L702" s="70"/>
      <c r="M702" s="70"/>
      <c r="N702" s="70"/>
      <c r="P702" s="71"/>
    </row>
    <row r="703" spans="2:16" x14ac:dyDescent="0.2">
      <c r="B703" s="68"/>
      <c r="C703" s="69"/>
      <c r="D703" s="69"/>
      <c r="E703" s="69"/>
      <c r="F703" s="69"/>
      <c r="G703" s="69"/>
      <c r="I703" s="70"/>
      <c r="J703" s="70"/>
      <c r="K703" s="70"/>
      <c r="L703" s="70"/>
      <c r="M703" s="70"/>
      <c r="N703" s="70"/>
      <c r="P703" s="71"/>
    </row>
    <row r="704" spans="2:16" x14ac:dyDescent="0.2">
      <c r="B704" s="68"/>
      <c r="C704" s="69"/>
      <c r="D704" s="69"/>
      <c r="E704" s="69"/>
      <c r="F704" s="69"/>
      <c r="G704" s="69"/>
      <c r="I704" s="70"/>
      <c r="J704" s="70"/>
      <c r="K704" s="70"/>
      <c r="L704" s="70"/>
      <c r="M704" s="70"/>
      <c r="N704" s="70"/>
      <c r="P704" s="71"/>
    </row>
    <row r="705" spans="2:16" x14ac:dyDescent="0.2">
      <c r="B705" s="68"/>
      <c r="C705" s="69"/>
      <c r="D705" s="69"/>
      <c r="E705" s="69"/>
      <c r="F705" s="69"/>
      <c r="G705" s="69"/>
      <c r="I705" s="70"/>
      <c r="J705" s="70"/>
      <c r="K705" s="70"/>
      <c r="L705" s="70"/>
      <c r="M705" s="70"/>
      <c r="N705" s="70"/>
      <c r="P705" s="71"/>
    </row>
    <row r="706" spans="2:16" x14ac:dyDescent="0.2">
      <c r="B706" s="68"/>
      <c r="C706" s="69"/>
      <c r="D706" s="69"/>
      <c r="E706" s="69"/>
      <c r="F706" s="69"/>
      <c r="G706" s="69"/>
      <c r="I706" s="70"/>
      <c r="J706" s="70"/>
      <c r="K706" s="70"/>
      <c r="L706" s="70"/>
      <c r="M706" s="70"/>
      <c r="N706" s="70"/>
      <c r="P706" s="71"/>
    </row>
    <row r="707" spans="2:16" x14ac:dyDescent="0.2">
      <c r="B707" s="68"/>
      <c r="C707" s="69"/>
      <c r="D707" s="69"/>
      <c r="E707" s="69"/>
      <c r="F707" s="69"/>
      <c r="G707" s="69"/>
      <c r="I707" s="70"/>
      <c r="J707" s="70"/>
      <c r="K707" s="70"/>
      <c r="L707" s="70"/>
      <c r="M707" s="70"/>
      <c r="N707" s="70"/>
      <c r="P707" s="71"/>
    </row>
    <row r="708" spans="2:16" x14ac:dyDescent="0.2">
      <c r="B708" s="68"/>
      <c r="C708" s="69"/>
      <c r="D708" s="69"/>
      <c r="E708" s="69"/>
      <c r="F708" s="69"/>
      <c r="G708" s="69"/>
      <c r="I708" s="70"/>
      <c r="J708" s="70"/>
      <c r="K708" s="70"/>
      <c r="L708" s="70"/>
      <c r="M708" s="70"/>
      <c r="N708" s="70"/>
      <c r="P708" s="71"/>
    </row>
    <row r="709" spans="2:16" x14ac:dyDescent="0.2">
      <c r="B709" s="68"/>
      <c r="C709" s="69"/>
      <c r="D709" s="69"/>
      <c r="E709" s="69"/>
      <c r="F709" s="69"/>
      <c r="G709" s="69"/>
      <c r="I709" s="70"/>
      <c r="J709" s="70"/>
      <c r="K709" s="70"/>
      <c r="L709" s="70"/>
      <c r="M709" s="70"/>
      <c r="N709" s="70"/>
      <c r="P709" s="71"/>
    </row>
    <row r="710" spans="2:16" x14ac:dyDescent="0.2">
      <c r="B710" s="68"/>
      <c r="C710" s="69"/>
      <c r="D710" s="69"/>
      <c r="E710" s="69"/>
      <c r="F710" s="69"/>
      <c r="G710" s="69"/>
      <c r="I710" s="70"/>
      <c r="J710" s="70"/>
      <c r="K710" s="70"/>
      <c r="L710" s="70"/>
      <c r="M710" s="70"/>
      <c r="N710" s="70"/>
      <c r="P710" s="71"/>
    </row>
    <row r="711" spans="2:16" x14ac:dyDescent="0.2">
      <c r="B711" s="68"/>
      <c r="C711" s="69"/>
      <c r="D711" s="69"/>
      <c r="E711" s="69"/>
      <c r="F711" s="69"/>
      <c r="G711" s="69"/>
      <c r="I711" s="70"/>
      <c r="J711" s="70"/>
      <c r="K711" s="70"/>
      <c r="L711" s="70"/>
      <c r="M711" s="70"/>
      <c r="N711" s="70"/>
      <c r="P711" s="71"/>
    </row>
    <row r="712" spans="2:16" x14ac:dyDescent="0.2">
      <c r="B712" s="68"/>
      <c r="C712" s="69"/>
      <c r="D712" s="69"/>
      <c r="E712" s="69"/>
      <c r="F712" s="69"/>
      <c r="G712" s="69"/>
      <c r="I712" s="70"/>
      <c r="J712" s="70"/>
      <c r="K712" s="70"/>
      <c r="L712" s="70"/>
      <c r="M712" s="70"/>
      <c r="N712" s="70"/>
      <c r="P712" s="71"/>
    </row>
    <row r="713" spans="2:16" x14ac:dyDescent="0.2">
      <c r="B713" s="68"/>
      <c r="C713" s="69"/>
      <c r="D713" s="69"/>
      <c r="E713" s="69"/>
      <c r="F713" s="69"/>
      <c r="G713" s="69"/>
      <c r="I713" s="70"/>
      <c r="J713" s="70"/>
      <c r="K713" s="70"/>
      <c r="L713" s="70"/>
      <c r="M713" s="70"/>
      <c r="N713" s="70"/>
      <c r="P713" s="71"/>
    </row>
    <row r="714" spans="2:16" x14ac:dyDescent="0.2">
      <c r="B714" s="68"/>
      <c r="C714" s="69"/>
      <c r="D714" s="69"/>
      <c r="E714" s="69"/>
      <c r="F714" s="69"/>
      <c r="G714" s="69"/>
      <c r="I714" s="70"/>
      <c r="J714" s="70"/>
      <c r="K714" s="70"/>
      <c r="L714" s="70"/>
      <c r="M714" s="70"/>
      <c r="N714" s="70"/>
      <c r="P714" s="71"/>
    </row>
    <row r="715" spans="2:16" x14ac:dyDescent="0.2">
      <c r="B715" s="68"/>
      <c r="C715" s="69"/>
      <c r="D715" s="69"/>
      <c r="E715" s="69"/>
      <c r="F715" s="69"/>
      <c r="G715" s="69"/>
      <c r="I715" s="70"/>
      <c r="J715" s="70"/>
      <c r="K715" s="70"/>
      <c r="L715" s="70"/>
      <c r="M715" s="70"/>
      <c r="N715" s="70"/>
      <c r="P715" s="71"/>
    </row>
    <row r="716" spans="2:16" x14ac:dyDescent="0.2">
      <c r="B716" s="68"/>
      <c r="C716" s="69"/>
      <c r="D716" s="69"/>
      <c r="E716" s="69"/>
      <c r="F716" s="69"/>
      <c r="G716" s="69"/>
      <c r="I716" s="70"/>
      <c r="J716" s="70"/>
      <c r="K716" s="70"/>
      <c r="L716" s="70"/>
      <c r="M716" s="70"/>
      <c r="N716" s="70"/>
      <c r="P716" s="71"/>
    </row>
    <row r="717" spans="2:16" x14ac:dyDescent="0.2">
      <c r="B717" s="68"/>
      <c r="C717" s="69"/>
      <c r="D717" s="69"/>
      <c r="E717" s="69"/>
      <c r="F717" s="69"/>
      <c r="G717" s="69"/>
      <c r="I717" s="70"/>
      <c r="J717" s="70"/>
      <c r="K717" s="70"/>
      <c r="L717" s="70"/>
      <c r="M717" s="70"/>
      <c r="N717" s="70"/>
      <c r="P717" s="71"/>
    </row>
    <row r="718" spans="2:16" x14ac:dyDescent="0.2">
      <c r="B718" s="68"/>
      <c r="C718" s="69"/>
      <c r="D718" s="69"/>
      <c r="E718" s="69"/>
      <c r="F718" s="69"/>
      <c r="G718" s="69"/>
      <c r="I718" s="70"/>
      <c r="J718" s="70"/>
      <c r="K718" s="70"/>
      <c r="L718" s="70"/>
      <c r="M718" s="70"/>
      <c r="N718" s="70"/>
      <c r="P718" s="71"/>
    </row>
    <row r="719" spans="2:16" x14ac:dyDescent="0.2">
      <c r="B719" s="68"/>
      <c r="C719" s="69"/>
      <c r="D719" s="69"/>
      <c r="E719" s="69"/>
      <c r="F719" s="69"/>
      <c r="G719" s="69"/>
      <c r="I719" s="70"/>
      <c r="J719" s="70"/>
      <c r="K719" s="70"/>
      <c r="L719" s="70"/>
      <c r="M719" s="70"/>
      <c r="N719" s="70"/>
      <c r="P719" s="71"/>
    </row>
    <row r="720" spans="2:16" x14ac:dyDescent="0.2">
      <c r="B720" s="68"/>
      <c r="C720" s="69"/>
      <c r="D720" s="69"/>
      <c r="E720" s="69"/>
      <c r="F720" s="69"/>
      <c r="G720" s="69"/>
      <c r="I720" s="70"/>
      <c r="J720" s="70"/>
      <c r="K720" s="70"/>
      <c r="L720" s="70"/>
      <c r="M720" s="70"/>
      <c r="N720" s="70"/>
      <c r="P720" s="71"/>
    </row>
    <row r="721" spans="2:16" x14ac:dyDescent="0.2">
      <c r="B721" s="68"/>
      <c r="C721" s="69"/>
      <c r="D721" s="69"/>
      <c r="E721" s="69"/>
      <c r="F721" s="69"/>
      <c r="G721" s="69"/>
      <c r="I721" s="70"/>
      <c r="J721" s="70"/>
      <c r="K721" s="70"/>
      <c r="L721" s="70"/>
      <c r="M721" s="70"/>
      <c r="N721" s="70"/>
      <c r="P721" s="71"/>
    </row>
    <row r="722" spans="2:16" x14ac:dyDescent="0.2">
      <c r="B722" s="68"/>
      <c r="C722" s="69"/>
      <c r="D722" s="69"/>
      <c r="E722" s="69"/>
      <c r="F722" s="69"/>
      <c r="G722" s="69"/>
      <c r="I722" s="70"/>
      <c r="J722" s="70"/>
      <c r="K722" s="70"/>
      <c r="L722" s="70"/>
      <c r="M722" s="70"/>
      <c r="N722" s="70"/>
      <c r="P722" s="71"/>
    </row>
    <row r="723" spans="2:16" x14ac:dyDescent="0.2">
      <c r="B723" s="68"/>
      <c r="C723" s="69"/>
      <c r="D723" s="69"/>
      <c r="E723" s="69"/>
      <c r="F723" s="69"/>
      <c r="G723" s="69"/>
      <c r="I723" s="70"/>
      <c r="J723" s="70"/>
      <c r="K723" s="70"/>
      <c r="L723" s="70"/>
      <c r="M723" s="70"/>
      <c r="N723" s="70"/>
      <c r="P723" s="71"/>
    </row>
    <row r="724" spans="2:16" x14ac:dyDescent="0.2">
      <c r="B724" s="68"/>
      <c r="C724" s="69"/>
      <c r="D724" s="69"/>
      <c r="E724" s="69"/>
      <c r="F724" s="69"/>
      <c r="G724" s="69"/>
      <c r="I724" s="70"/>
      <c r="J724" s="70"/>
      <c r="K724" s="70"/>
      <c r="L724" s="70"/>
      <c r="M724" s="70"/>
      <c r="N724" s="70"/>
      <c r="P724" s="71"/>
    </row>
    <row r="725" spans="2:16" x14ac:dyDescent="0.2">
      <c r="B725" s="68"/>
      <c r="C725" s="69"/>
      <c r="D725" s="69"/>
      <c r="E725" s="69"/>
      <c r="F725" s="69"/>
      <c r="G725" s="69"/>
      <c r="I725" s="70"/>
      <c r="J725" s="70"/>
      <c r="K725" s="70"/>
      <c r="L725" s="70"/>
      <c r="M725" s="70"/>
      <c r="N725" s="70"/>
      <c r="P725" s="71"/>
    </row>
    <row r="726" spans="2:16" x14ac:dyDescent="0.2">
      <c r="B726" s="68"/>
      <c r="C726" s="69"/>
      <c r="D726" s="69"/>
      <c r="E726" s="69"/>
      <c r="F726" s="69"/>
      <c r="G726" s="69"/>
      <c r="I726" s="70"/>
      <c r="J726" s="70"/>
      <c r="K726" s="70"/>
      <c r="L726" s="70"/>
      <c r="M726" s="70"/>
      <c r="N726" s="70"/>
      <c r="P726" s="71"/>
    </row>
    <row r="727" spans="2:16" x14ac:dyDescent="0.2">
      <c r="B727" s="68"/>
      <c r="C727" s="69"/>
      <c r="D727" s="69"/>
      <c r="E727" s="69"/>
      <c r="F727" s="69"/>
      <c r="G727" s="69"/>
      <c r="I727" s="70"/>
      <c r="J727" s="70"/>
      <c r="K727" s="70"/>
      <c r="L727" s="70"/>
      <c r="M727" s="70"/>
      <c r="N727" s="70"/>
      <c r="P727" s="71"/>
    </row>
    <row r="728" spans="2:16" x14ac:dyDescent="0.2">
      <c r="B728" s="68"/>
      <c r="C728" s="69"/>
      <c r="D728" s="69"/>
      <c r="E728" s="69"/>
      <c r="F728" s="69"/>
      <c r="G728" s="69"/>
      <c r="I728" s="70"/>
      <c r="J728" s="70"/>
      <c r="K728" s="70"/>
      <c r="L728" s="70"/>
      <c r="M728" s="70"/>
      <c r="N728" s="70"/>
      <c r="P728" s="71"/>
    </row>
    <row r="729" spans="2:16" x14ac:dyDescent="0.2">
      <c r="B729" s="68"/>
      <c r="C729" s="69"/>
      <c r="D729" s="69"/>
      <c r="E729" s="69"/>
      <c r="F729" s="69"/>
      <c r="G729" s="69"/>
      <c r="I729" s="70"/>
      <c r="J729" s="70"/>
      <c r="K729" s="70"/>
      <c r="L729" s="70"/>
      <c r="M729" s="70"/>
      <c r="N729" s="70"/>
      <c r="P729" s="71"/>
    </row>
    <row r="730" spans="2:16" x14ac:dyDescent="0.2">
      <c r="B730" s="68"/>
      <c r="C730" s="69"/>
      <c r="D730" s="69"/>
      <c r="E730" s="69"/>
      <c r="F730" s="69"/>
      <c r="G730" s="69"/>
      <c r="I730" s="70"/>
      <c r="J730" s="70"/>
      <c r="K730" s="70"/>
      <c r="L730" s="70"/>
      <c r="M730" s="70"/>
      <c r="N730" s="70"/>
      <c r="P730" s="71"/>
    </row>
    <row r="731" spans="2:16" x14ac:dyDescent="0.2">
      <c r="B731" s="68"/>
      <c r="C731" s="69"/>
      <c r="D731" s="69"/>
      <c r="E731" s="69"/>
      <c r="F731" s="69"/>
      <c r="G731" s="69"/>
      <c r="I731" s="70"/>
      <c r="J731" s="70"/>
      <c r="K731" s="70"/>
      <c r="L731" s="70"/>
      <c r="M731" s="70"/>
      <c r="N731" s="70"/>
      <c r="P731" s="71"/>
    </row>
    <row r="732" spans="2:16" x14ac:dyDescent="0.2">
      <c r="B732" s="68"/>
      <c r="C732" s="69"/>
      <c r="D732" s="69"/>
      <c r="E732" s="69"/>
      <c r="F732" s="69"/>
      <c r="G732" s="69"/>
      <c r="I732" s="70"/>
      <c r="J732" s="70"/>
      <c r="K732" s="70"/>
      <c r="L732" s="70"/>
      <c r="M732" s="70"/>
      <c r="N732" s="70"/>
      <c r="P732" s="71"/>
    </row>
    <row r="733" spans="2:16" x14ac:dyDescent="0.2">
      <c r="B733" s="68"/>
      <c r="C733" s="69"/>
      <c r="D733" s="69"/>
      <c r="E733" s="69"/>
      <c r="F733" s="69"/>
      <c r="G733" s="69"/>
      <c r="I733" s="70"/>
      <c r="J733" s="70"/>
      <c r="K733" s="70"/>
      <c r="L733" s="70"/>
      <c r="M733" s="70"/>
      <c r="N733" s="70"/>
      <c r="P733" s="71"/>
    </row>
    <row r="734" spans="2:16" x14ac:dyDescent="0.2">
      <c r="B734" s="68"/>
      <c r="C734" s="69"/>
      <c r="D734" s="69"/>
      <c r="E734" s="69"/>
      <c r="F734" s="69"/>
      <c r="G734" s="69"/>
      <c r="I734" s="70"/>
      <c r="J734" s="70"/>
      <c r="K734" s="70"/>
      <c r="L734" s="70"/>
      <c r="M734" s="70"/>
      <c r="N734" s="70"/>
      <c r="P734" s="71"/>
    </row>
    <row r="735" spans="2:16" x14ac:dyDescent="0.2">
      <c r="B735" s="68"/>
      <c r="C735" s="69"/>
      <c r="D735" s="69"/>
      <c r="E735" s="69"/>
      <c r="F735" s="69"/>
      <c r="G735" s="69"/>
      <c r="I735" s="70"/>
      <c r="J735" s="70"/>
      <c r="K735" s="70"/>
      <c r="L735" s="70"/>
      <c r="M735" s="70"/>
      <c r="N735" s="70"/>
      <c r="P735" s="71"/>
    </row>
    <row r="736" spans="2:16" x14ac:dyDescent="0.2">
      <c r="B736" s="68"/>
      <c r="C736" s="69"/>
      <c r="D736" s="69"/>
      <c r="E736" s="69"/>
      <c r="F736" s="69"/>
      <c r="G736" s="69"/>
      <c r="I736" s="70"/>
      <c r="J736" s="70"/>
      <c r="K736" s="70"/>
      <c r="L736" s="70"/>
      <c r="M736" s="70"/>
      <c r="N736" s="70"/>
      <c r="P736" s="71"/>
    </row>
    <row r="737" spans="2:16" x14ac:dyDescent="0.2">
      <c r="B737" s="68"/>
      <c r="C737" s="69"/>
      <c r="D737" s="69"/>
      <c r="E737" s="69"/>
      <c r="F737" s="69"/>
      <c r="G737" s="69"/>
      <c r="I737" s="70"/>
      <c r="J737" s="70"/>
      <c r="K737" s="70"/>
      <c r="L737" s="70"/>
      <c r="M737" s="70"/>
      <c r="N737" s="70"/>
      <c r="P737" s="71"/>
    </row>
    <row r="738" spans="2:16" x14ac:dyDescent="0.2">
      <c r="B738" s="68"/>
      <c r="C738" s="69"/>
      <c r="D738" s="69"/>
      <c r="E738" s="69"/>
      <c r="F738" s="69"/>
      <c r="G738" s="69"/>
      <c r="I738" s="70"/>
      <c r="J738" s="70"/>
      <c r="K738" s="70"/>
      <c r="L738" s="70"/>
      <c r="M738" s="70"/>
      <c r="N738" s="70"/>
      <c r="P738" s="71"/>
    </row>
    <row r="739" spans="2:16" x14ac:dyDescent="0.2">
      <c r="B739" s="68"/>
      <c r="C739" s="69"/>
      <c r="D739" s="69"/>
      <c r="E739" s="69"/>
      <c r="F739" s="69"/>
      <c r="G739" s="69"/>
      <c r="I739" s="70"/>
      <c r="J739" s="70"/>
      <c r="K739" s="70"/>
      <c r="L739" s="70"/>
      <c r="M739" s="70"/>
      <c r="N739" s="70"/>
      <c r="P739" s="71"/>
    </row>
    <row r="740" spans="2:16" x14ac:dyDescent="0.2">
      <c r="B740" s="68"/>
      <c r="C740" s="69"/>
      <c r="D740" s="69"/>
      <c r="E740" s="69"/>
      <c r="F740" s="69"/>
      <c r="G740" s="69"/>
      <c r="I740" s="70"/>
      <c r="J740" s="70"/>
      <c r="K740" s="70"/>
      <c r="L740" s="70"/>
      <c r="M740" s="70"/>
      <c r="N740" s="70"/>
      <c r="P740" s="71"/>
    </row>
    <row r="741" spans="2:16" x14ac:dyDescent="0.2">
      <c r="B741" s="68"/>
      <c r="C741" s="69"/>
      <c r="D741" s="69"/>
      <c r="E741" s="69"/>
      <c r="F741" s="69"/>
      <c r="G741" s="69"/>
      <c r="I741" s="70"/>
      <c r="J741" s="70"/>
      <c r="K741" s="70"/>
      <c r="L741" s="70"/>
      <c r="M741" s="70"/>
      <c r="N741" s="70"/>
      <c r="P741" s="71"/>
    </row>
    <row r="742" spans="2:16" x14ac:dyDescent="0.2">
      <c r="B742" s="68"/>
      <c r="C742" s="69"/>
      <c r="D742" s="69"/>
      <c r="E742" s="69"/>
      <c r="F742" s="69"/>
      <c r="G742" s="69"/>
      <c r="I742" s="70"/>
      <c r="J742" s="70"/>
      <c r="K742" s="70"/>
      <c r="L742" s="70"/>
      <c r="M742" s="70"/>
      <c r="N742" s="70"/>
      <c r="P742" s="71"/>
    </row>
    <row r="743" spans="2:16" x14ac:dyDescent="0.2">
      <c r="B743" s="68"/>
      <c r="C743" s="69"/>
      <c r="D743" s="69"/>
      <c r="E743" s="69"/>
      <c r="F743" s="69"/>
      <c r="G743" s="69"/>
      <c r="I743" s="70"/>
      <c r="J743" s="70"/>
      <c r="K743" s="70"/>
      <c r="L743" s="70"/>
      <c r="M743" s="70"/>
      <c r="N743" s="70"/>
      <c r="P743" s="71"/>
    </row>
    <row r="744" spans="2:16" x14ac:dyDescent="0.2">
      <c r="B744" s="68"/>
      <c r="C744" s="69"/>
      <c r="D744" s="69"/>
      <c r="E744" s="69"/>
      <c r="F744" s="69"/>
      <c r="G744" s="69"/>
      <c r="I744" s="70"/>
      <c r="J744" s="70"/>
      <c r="K744" s="70"/>
      <c r="L744" s="70"/>
      <c r="M744" s="70"/>
      <c r="N744" s="70"/>
      <c r="P744" s="71"/>
    </row>
    <row r="745" spans="2:16" x14ac:dyDescent="0.2">
      <c r="B745" s="68"/>
      <c r="C745" s="69"/>
      <c r="D745" s="69"/>
      <c r="E745" s="69"/>
      <c r="F745" s="69"/>
      <c r="G745" s="69"/>
      <c r="I745" s="70"/>
      <c r="J745" s="70"/>
      <c r="K745" s="70"/>
      <c r="L745" s="70"/>
      <c r="M745" s="70"/>
      <c r="N745" s="70"/>
      <c r="P745" s="71"/>
    </row>
    <row r="746" spans="2:16" x14ac:dyDescent="0.2">
      <c r="B746" s="68"/>
      <c r="C746" s="69"/>
      <c r="D746" s="69"/>
      <c r="E746" s="69"/>
      <c r="F746" s="69"/>
      <c r="G746" s="69"/>
      <c r="I746" s="70"/>
      <c r="J746" s="70"/>
      <c r="K746" s="70"/>
      <c r="L746" s="70"/>
      <c r="M746" s="70"/>
      <c r="N746" s="70"/>
      <c r="P746" s="71"/>
    </row>
    <row r="747" spans="2:16" x14ac:dyDescent="0.2">
      <c r="B747" s="68"/>
      <c r="C747" s="69"/>
      <c r="D747" s="69"/>
      <c r="E747" s="69"/>
      <c r="F747" s="69"/>
      <c r="G747" s="69"/>
      <c r="I747" s="70"/>
      <c r="J747" s="70"/>
      <c r="K747" s="70"/>
      <c r="L747" s="70"/>
      <c r="M747" s="70"/>
      <c r="N747" s="70"/>
      <c r="P747" s="71"/>
    </row>
    <row r="748" spans="2:16" x14ac:dyDescent="0.2">
      <c r="B748" s="68"/>
      <c r="C748" s="69"/>
      <c r="D748" s="69"/>
      <c r="E748" s="69"/>
      <c r="F748" s="69"/>
      <c r="G748" s="69"/>
      <c r="I748" s="70"/>
      <c r="J748" s="70"/>
      <c r="K748" s="70"/>
      <c r="L748" s="70"/>
      <c r="M748" s="70"/>
      <c r="N748" s="70"/>
      <c r="P748" s="71"/>
    </row>
    <row r="749" spans="2:16" x14ac:dyDescent="0.2">
      <c r="B749" s="68"/>
      <c r="C749" s="69"/>
      <c r="D749" s="69"/>
      <c r="E749" s="69"/>
      <c r="F749" s="69"/>
      <c r="G749" s="69"/>
      <c r="I749" s="70"/>
      <c r="J749" s="70"/>
      <c r="K749" s="70"/>
      <c r="L749" s="70"/>
      <c r="M749" s="70"/>
      <c r="N749" s="70"/>
      <c r="P749" s="71"/>
    </row>
    <row r="750" spans="2:16" x14ac:dyDescent="0.2">
      <c r="B750" s="68"/>
      <c r="C750" s="69"/>
      <c r="D750" s="69"/>
      <c r="E750" s="69"/>
      <c r="F750" s="69"/>
      <c r="G750" s="69"/>
      <c r="I750" s="70"/>
      <c r="J750" s="70"/>
      <c r="K750" s="70"/>
      <c r="L750" s="70"/>
      <c r="M750" s="70"/>
      <c r="N750" s="70"/>
      <c r="P750" s="71"/>
    </row>
    <row r="751" spans="2:16" x14ac:dyDescent="0.2">
      <c r="B751" s="68"/>
      <c r="C751" s="69"/>
      <c r="D751" s="69"/>
      <c r="E751" s="69"/>
      <c r="F751" s="69"/>
      <c r="G751" s="69"/>
      <c r="I751" s="70"/>
      <c r="J751" s="70"/>
      <c r="K751" s="70"/>
      <c r="L751" s="70"/>
      <c r="M751" s="70"/>
      <c r="N751" s="70"/>
      <c r="P751" s="71"/>
    </row>
    <row r="752" spans="2:16" x14ac:dyDescent="0.2">
      <c r="B752" s="68"/>
      <c r="C752" s="69"/>
      <c r="D752" s="69"/>
      <c r="E752" s="69"/>
      <c r="F752" s="69"/>
      <c r="G752" s="69"/>
      <c r="I752" s="70"/>
      <c r="J752" s="70"/>
      <c r="K752" s="70"/>
      <c r="L752" s="70"/>
      <c r="M752" s="70"/>
      <c r="N752" s="70"/>
      <c r="P752" s="71"/>
    </row>
    <row r="753" spans="2:16" x14ac:dyDescent="0.2">
      <c r="B753" s="68"/>
      <c r="C753" s="69"/>
      <c r="D753" s="69"/>
      <c r="E753" s="69"/>
      <c r="F753" s="69"/>
      <c r="G753" s="69"/>
      <c r="I753" s="70"/>
      <c r="J753" s="70"/>
      <c r="K753" s="70"/>
      <c r="L753" s="70"/>
      <c r="M753" s="70"/>
      <c r="N753" s="70"/>
      <c r="P753" s="71"/>
    </row>
    <row r="754" spans="2:16" x14ac:dyDescent="0.2">
      <c r="B754" s="68"/>
      <c r="C754" s="69"/>
      <c r="D754" s="69"/>
      <c r="E754" s="69"/>
      <c r="F754" s="69"/>
      <c r="G754" s="69"/>
      <c r="I754" s="70"/>
      <c r="J754" s="70"/>
      <c r="K754" s="70"/>
      <c r="L754" s="70"/>
      <c r="M754" s="70"/>
      <c r="N754" s="70"/>
      <c r="P754" s="71"/>
    </row>
    <row r="755" spans="2:16" x14ac:dyDescent="0.2">
      <c r="B755" s="68"/>
      <c r="C755" s="69"/>
      <c r="D755" s="69"/>
      <c r="E755" s="69"/>
      <c r="F755" s="69"/>
      <c r="G755" s="69"/>
      <c r="I755" s="70"/>
      <c r="J755" s="70"/>
      <c r="K755" s="70"/>
      <c r="L755" s="70"/>
      <c r="M755" s="70"/>
      <c r="N755" s="70"/>
      <c r="P755" s="71"/>
    </row>
    <row r="756" spans="2:16" x14ac:dyDescent="0.2">
      <c r="B756" s="68"/>
      <c r="C756" s="69"/>
      <c r="D756" s="69"/>
      <c r="E756" s="69"/>
      <c r="F756" s="69"/>
      <c r="G756" s="69"/>
      <c r="I756" s="70"/>
      <c r="J756" s="70"/>
      <c r="K756" s="70"/>
      <c r="L756" s="70"/>
      <c r="M756" s="70"/>
      <c r="N756" s="70"/>
      <c r="P756" s="71"/>
    </row>
    <row r="757" spans="2:16" x14ac:dyDescent="0.2">
      <c r="B757" s="68"/>
      <c r="C757" s="69"/>
      <c r="D757" s="69"/>
      <c r="E757" s="69"/>
      <c r="F757" s="69"/>
      <c r="G757" s="69"/>
      <c r="I757" s="70"/>
      <c r="J757" s="70"/>
      <c r="K757" s="70"/>
      <c r="L757" s="70"/>
      <c r="M757" s="70"/>
      <c r="N757" s="70"/>
      <c r="P757" s="71"/>
    </row>
    <row r="758" spans="2:16" x14ac:dyDescent="0.2">
      <c r="B758" s="68"/>
      <c r="C758" s="69"/>
      <c r="D758" s="69"/>
      <c r="E758" s="69"/>
      <c r="F758" s="69"/>
      <c r="G758" s="69"/>
      <c r="I758" s="70"/>
      <c r="J758" s="70"/>
      <c r="K758" s="70"/>
      <c r="L758" s="70"/>
      <c r="M758" s="70"/>
      <c r="N758" s="70"/>
      <c r="P758" s="71"/>
    </row>
    <row r="759" spans="2:16" x14ac:dyDescent="0.2">
      <c r="B759" s="68"/>
      <c r="C759" s="69"/>
      <c r="D759" s="69"/>
      <c r="E759" s="69"/>
      <c r="F759" s="69"/>
      <c r="G759" s="69"/>
      <c r="I759" s="70"/>
      <c r="J759" s="70"/>
      <c r="K759" s="70"/>
      <c r="L759" s="70"/>
      <c r="M759" s="70"/>
      <c r="N759" s="70"/>
      <c r="P759" s="71"/>
    </row>
    <row r="760" spans="2:16" x14ac:dyDescent="0.2">
      <c r="B760" s="68"/>
      <c r="C760" s="69"/>
      <c r="D760" s="69"/>
      <c r="E760" s="69"/>
      <c r="F760" s="69"/>
      <c r="G760" s="69"/>
      <c r="I760" s="70"/>
      <c r="J760" s="70"/>
      <c r="K760" s="70"/>
      <c r="L760" s="70"/>
      <c r="M760" s="70"/>
      <c r="N760" s="70"/>
      <c r="P760" s="71"/>
    </row>
    <row r="761" spans="2:16" x14ac:dyDescent="0.2">
      <c r="B761" s="68"/>
      <c r="C761" s="69"/>
      <c r="D761" s="69"/>
      <c r="E761" s="69"/>
      <c r="F761" s="69"/>
      <c r="G761" s="69"/>
      <c r="I761" s="70"/>
      <c r="J761" s="70"/>
      <c r="K761" s="70"/>
      <c r="L761" s="70"/>
      <c r="M761" s="70"/>
      <c r="N761" s="70"/>
      <c r="P761" s="71"/>
    </row>
    <row r="762" spans="2:16" x14ac:dyDescent="0.2">
      <c r="B762" s="68"/>
      <c r="C762" s="69"/>
      <c r="D762" s="69"/>
      <c r="E762" s="69"/>
      <c r="F762" s="69"/>
      <c r="G762" s="69"/>
      <c r="I762" s="70"/>
      <c r="J762" s="70"/>
      <c r="K762" s="70"/>
      <c r="L762" s="70"/>
      <c r="M762" s="70"/>
      <c r="N762" s="70"/>
      <c r="P762" s="71"/>
    </row>
    <row r="763" spans="2:16" x14ac:dyDescent="0.2">
      <c r="B763" s="68"/>
      <c r="C763" s="69"/>
      <c r="D763" s="69"/>
      <c r="E763" s="69"/>
      <c r="F763" s="69"/>
      <c r="G763" s="69"/>
      <c r="I763" s="70"/>
      <c r="J763" s="70"/>
      <c r="K763" s="70"/>
      <c r="L763" s="70"/>
      <c r="M763" s="70"/>
      <c r="N763" s="70"/>
      <c r="P763" s="71"/>
    </row>
    <row r="764" spans="2:16" x14ac:dyDescent="0.2">
      <c r="B764" s="68"/>
      <c r="C764" s="69"/>
      <c r="D764" s="69"/>
      <c r="E764" s="69"/>
      <c r="F764" s="69"/>
      <c r="G764" s="69"/>
      <c r="I764" s="70"/>
      <c r="J764" s="70"/>
      <c r="K764" s="70"/>
      <c r="L764" s="70"/>
      <c r="M764" s="70"/>
      <c r="N764" s="70"/>
      <c r="P764" s="71"/>
    </row>
    <row r="765" spans="2:16" x14ac:dyDescent="0.2">
      <c r="B765" s="68"/>
      <c r="C765" s="69"/>
      <c r="D765" s="69"/>
      <c r="E765" s="69"/>
      <c r="F765" s="69"/>
      <c r="G765" s="69"/>
      <c r="I765" s="70"/>
      <c r="J765" s="70"/>
      <c r="K765" s="70"/>
      <c r="L765" s="70"/>
      <c r="M765" s="70"/>
      <c r="N765" s="70"/>
      <c r="P765" s="71"/>
    </row>
    <row r="766" spans="2:16" x14ac:dyDescent="0.2">
      <c r="B766" s="68"/>
      <c r="C766" s="69"/>
      <c r="D766" s="69"/>
      <c r="E766" s="69"/>
      <c r="F766" s="69"/>
      <c r="G766" s="69"/>
      <c r="I766" s="70"/>
      <c r="J766" s="70"/>
      <c r="K766" s="70"/>
      <c r="L766" s="70"/>
      <c r="M766" s="70"/>
      <c r="N766" s="70"/>
      <c r="P766" s="71"/>
    </row>
    <row r="767" spans="2:16" x14ac:dyDescent="0.2">
      <c r="B767" s="68"/>
      <c r="C767" s="69"/>
      <c r="D767" s="69"/>
      <c r="E767" s="69"/>
      <c r="F767" s="69"/>
      <c r="G767" s="69"/>
      <c r="I767" s="70"/>
      <c r="J767" s="70"/>
      <c r="K767" s="70"/>
      <c r="L767" s="70"/>
      <c r="M767" s="70"/>
      <c r="N767" s="70"/>
      <c r="P767" s="71"/>
    </row>
    <row r="768" spans="2:16" x14ac:dyDescent="0.2">
      <c r="B768" s="68"/>
      <c r="C768" s="69"/>
      <c r="D768" s="69"/>
      <c r="E768" s="69"/>
      <c r="F768" s="69"/>
      <c r="G768" s="69"/>
      <c r="I768" s="70"/>
      <c r="J768" s="70"/>
      <c r="K768" s="70"/>
      <c r="L768" s="70"/>
      <c r="M768" s="70"/>
      <c r="N768" s="70"/>
      <c r="P768" s="71"/>
    </row>
    <row r="769" spans="2:16" x14ac:dyDescent="0.2">
      <c r="B769" s="68"/>
      <c r="C769" s="69"/>
      <c r="D769" s="69"/>
      <c r="E769" s="69"/>
      <c r="F769" s="69"/>
      <c r="G769" s="69"/>
      <c r="I769" s="70"/>
      <c r="J769" s="70"/>
      <c r="K769" s="70"/>
      <c r="L769" s="70"/>
      <c r="M769" s="70"/>
      <c r="N769" s="70"/>
      <c r="P769" s="71"/>
    </row>
    <row r="770" spans="2:16" x14ac:dyDescent="0.2">
      <c r="B770" s="68"/>
      <c r="C770" s="69"/>
      <c r="D770" s="69"/>
      <c r="E770" s="69"/>
      <c r="F770" s="69"/>
      <c r="G770" s="69"/>
      <c r="I770" s="70"/>
      <c r="J770" s="70"/>
      <c r="K770" s="70"/>
      <c r="L770" s="70"/>
      <c r="M770" s="70"/>
      <c r="N770" s="70"/>
      <c r="P770" s="71"/>
    </row>
    <row r="771" spans="2:16" x14ac:dyDescent="0.2">
      <c r="B771" s="68"/>
      <c r="C771" s="69"/>
      <c r="D771" s="69"/>
      <c r="E771" s="69"/>
      <c r="F771" s="69"/>
      <c r="G771" s="69"/>
      <c r="I771" s="70"/>
      <c r="J771" s="70"/>
      <c r="K771" s="70"/>
      <c r="L771" s="70"/>
      <c r="M771" s="70"/>
      <c r="N771" s="70"/>
      <c r="P771" s="71"/>
    </row>
    <row r="772" spans="2:16" x14ac:dyDescent="0.2">
      <c r="B772" s="68"/>
      <c r="C772" s="69"/>
      <c r="D772" s="69"/>
      <c r="E772" s="69"/>
      <c r="F772" s="69"/>
      <c r="G772" s="69"/>
      <c r="I772" s="70"/>
      <c r="J772" s="70"/>
      <c r="K772" s="70"/>
      <c r="L772" s="70"/>
      <c r="M772" s="70"/>
      <c r="N772" s="70"/>
      <c r="P772" s="71"/>
    </row>
    <row r="773" spans="2:16" x14ac:dyDescent="0.2">
      <c r="B773" s="68"/>
      <c r="C773" s="69"/>
      <c r="D773" s="69"/>
      <c r="E773" s="69"/>
      <c r="F773" s="69"/>
      <c r="G773" s="69"/>
      <c r="I773" s="70"/>
      <c r="J773" s="70"/>
      <c r="K773" s="70"/>
      <c r="L773" s="70"/>
      <c r="M773" s="70"/>
      <c r="N773" s="70"/>
      <c r="P773" s="71"/>
    </row>
    <row r="774" spans="2:16" x14ac:dyDescent="0.2">
      <c r="B774" s="68"/>
      <c r="C774" s="69"/>
      <c r="D774" s="69"/>
      <c r="E774" s="69"/>
      <c r="F774" s="69"/>
      <c r="G774" s="69"/>
      <c r="I774" s="70"/>
      <c r="J774" s="70"/>
      <c r="K774" s="70"/>
      <c r="L774" s="70"/>
      <c r="M774" s="70"/>
      <c r="N774" s="70"/>
      <c r="P774" s="71"/>
    </row>
    <row r="775" spans="2:16" x14ac:dyDescent="0.2">
      <c r="B775" s="68"/>
      <c r="C775" s="69"/>
      <c r="D775" s="69"/>
      <c r="E775" s="69"/>
      <c r="F775" s="69"/>
      <c r="G775" s="69"/>
      <c r="I775" s="70"/>
      <c r="J775" s="70"/>
      <c r="K775" s="70"/>
      <c r="L775" s="70"/>
      <c r="M775" s="70"/>
      <c r="N775" s="70"/>
      <c r="P775" s="71"/>
    </row>
    <row r="776" spans="2:16" x14ac:dyDescent="0.2">
      <c r="B776" s="68"/>
      <c r="C776" s="69"/>
      <c r="D776" s="69"/>
      <c r="E776" s="69"/>
      <c r="F776" s="69"/>
      <c r="G776" s="69"/>
      <c r="I776" s="70"/>
      <c r="J776" s="70"/>
      <c r="K776" s="70"/>
      <c r="L776" s="70"/>
      <c r="M776" s="70"/>
      <c r="N776" s="70"/>
      <c r="P776" s="71"/>
    </row>
    <row r="777" spans="2:16" x14ac:dyDescent="0.2">
      <c r="B777" s="68"/>
      <c r="C777" s="69"/>
      <c r="D777" s="69"/>
      <c r="E777" s="69"/>
      <c r="F777" s="69"/>
      <c r="G777" s="69"/>
      <c r="I777" s="70"/>
      <c r="J777" s="70"/>
      <c r="K777" s="70"/>
      <c r="L777" s="70"/>
      <c r="M777" s="70"/>
      <c r="N777" s="70"/>
      <c r="P777" s="71"/>
    </row>
    <row r="778" spans="2:16" x14ac:dyDescent="0.2">
      <c r="B778" s="68"/>
      <c r="C778" s="69"/>
      <c r="D778" s="69"/>
      <c r="E778" s="69"/>
      <c r="F778" s="69"/>
      <c r="G778" s="69"/>
      <c r="I778" s="70"/>
      <c r="J778" s="70"/>
      <c r="K778" s="70"/>
      <c r="L778" s="70"/>
      <c r="M778" s="70"/>
      <c r="N778" s="70"/>
      <c r="P778" s="71"/>
    </row>
    <row r="779" spans="2:16" x14ac:dyDescent="0.2">
      <c r="B779" s="68"/>
      <c r="C779" s="69"/>
      <c r="D779" s="69"/>
      <c r="E779" s="69"/>
      <c r="F779" s="69"/>
      <c r="G779" s="69"/>
      <c r="I779" s="70"/>
      <c r="J779" s="70"/>
      <c r="K779" s="70"/>
      <c r="L779" s="70"/>
      <c r="M779" s="70"/>
      <c r="N779" s="70"/>
      <c r="P779" s="71"/>
    </row>
    <row r="780" spans="2:16" x14ac:dyDescent="0.2">
      <c r="B780" s="68"/>
      <c r="C780" s="69"/>
      <c r="D780" s="69"/>
      <c r="E780" s="69"/>
      <c r="F780" s="69"/>
      <c r="G780" s="69"/>
      <c r="I780" s="70"/>
      <c r="J780" s="70"/>
      <c r="K780" s="70"/>
      <c r="L780" s="70"/>
      <c r="M780" s="70"/>
      <c r="N780" s="70"/>
      <c r="P780" s="71"/>
    </row>
    <row r="781" spans="2:16" x14ac:dyDescent="0.2">
      <c r="B781" s="68"/>
      <c r="C781" s="69"/>
      <c r="D781" s="69"/>
      <c r="E781" s="69"/>
      <c r="F781" s="69"/>
      <c r="G781" s="69"/>
      <c r="I781" s="70"/>
      <c r="J781" s="70"/>
      <c r="K781" s="70"/>
      <c r="L781" s="70"/>
      <c r="M781" s="70"/>
      <c r="N781" s="70"/>
      <c r="P781" s="71"/>
    </row>
    <row r="782" spans="2:16" x14ac:dyDescent="0.2">
      <c r="B782" s="68"/>
      <c r="C782" s="69"/>
      <c r="D782" s="69"/>
      <c r="E782" s="69"/>
      <c r="F782" s="69"/>
      <c r="G782" s="69"/>
      <c r="I782" s="70"/>
      <c r="J782" s="70"/>
      <c r="K782" s="70"/>
      <c r="L782" s="70"/>
      <c r="M782" s="70"/>
      <c r="N782" s="70"/>
      <c r="P782" s="71"/>
    </row>
    <row r="783" spans="2:16" x14ac:dyDescent="0.2">
      <c r="B783" s="68"/>
      <c r="C783" s="69"/>
      <c r="D783" s="69"/>
      <c r="E783" s="69"/>
      <c r="F783" s="69"/>
      <c r="G783" s="69"/>
      <c r="I783" s="70"/>
      <c r="J783" s="70"/>
      <c r="K783" s="70"/>
      <c r="L783" s="70"/>
      <c r="M783" s="70"/>
      <c r="N783" s="70"/>
      <c r="P783" s="71"/>
    </row>
    <row r="784" spans="2:16" x14ac:dyDescent="0.2">
      <c r="B784" s="68"/>
      <c r="C784" s="69"/>
      <c r="D784" s="69"/>
      <c r="E784" s="69"/>
      <c r="F784" s="69"/>
      <c r="G784" s="69"/>
      <c r="I784" s="70"/>
      <c r="J784" s="70"/>
      <c r="K784" s="70"/>
      <c r="L784" s="70"/>
      <c r="M784" s="70"/>
      <c r="N784" s="70"/>
      <c r="P784" s="71"/>
    </row>
    <row r="785" spans="2:16" x14ac:dyDescent="0.2">
      <c r="B785" s="68"/>
      <c r="C785" s="69"/>
      <c r="D785" s="69"/>
      <c r="E785" s="69"/>
      <c r="F785" s="69"/>
      <c r="G785" s="69"/>
      <c r="I785" s="70"/>
      <c r="J785" s="70"/>
      <c r="K785" s="70"/>
      <c r="L785" s="70"/>
      <c r="M785" s="70"/>
      <c r="N785" s="70"/>
      <c r="P785" s="71"/>
    </row>
    <row r="786" spans="2:16" x14ac:dyDescent="0.2">
      <c r="B786" s="68"/>
      <c r="C786" s="69"/>
      <c r="D786" s="69"/>
      <c r="E786" s="69"/>
      <c r="F786" s="69"/>
      <c r="G786" s="69"/>
      <c r="I786" s="70"/>
      <c r="J786" s="70"/>
      <c r="K786" s="70"/>
      <c r="L786" s="70"/>
      <c r="M786" s="70"/>
      <c r="N786" s="70"/>
      <c r="P786" s="71"/>
    </row>
    <row r="787" spans="2:16" x14ac:dyDescent="0.2">
      <c r="B787" s="68"/>
      <c r="C787" s="69"/>
      <c r="D787" s="69"/>
      <c r="E787" s="69"/>
      <c r="F787" s="69"/>
      <c r="G787" s="69"/>
      <c r="I787" s="70"/>
      <c r="J787" s="70"/>
      <c r="K787" s="70"/>
      <c r="L787" s="70"/>
      <c r="M787" s="70"/>
      <c r="N787" s="70"/>
      <c r="P787" s="71"/>
    </row>
    <row r="788" spans="2:16" x14ac:dyDescent="0.2">
      <c r="B788" s="68"/>
      <c r="C788" s="69"/>
      <c r="D788" s="69"/>
      <c r="E788" s="69"/>
      <c r="F788" s="69"/>
      <c r="G788" s="69"/>
      <c r="I788" s="70"/>
      <c r="J788" s="70"/>
      <c r="K788" s="70"/>
      <c r="L788" s="70"/>
      <c r="M788" s="70"/>
      <c r="N788" s="70"/>
      <c r="P788" s="71"/>
    </row>
    <row r="789" spans="2:16" x14ac:dyDescent="0.2">
      <c r="B789" s="68"/>
      <c r="C789" s="69"/>
      <c r="D789" s="69"/>
      <c r="E789" s="69"/>
      <c r="F789" s="69"/>
      <c r="G789" s="69"/>
      <c r="I789" s="70"/>
      <c r="J789" s="70"/>
      <c r="K789" s="70"/>
      <c r="L789" s="70"/>
      <c r="M789" s="70"/>
      <c r="N789" s="70"/>
      <c r="P789" s="71"/>
    </row>
    <row r="790" spans="2:16" x14ac:dyDescent="0.2">
      <c r="B790" s="68"/>
      <c r="C790" s="69"/>
      <c r="D790" s="69"/>
      <c r="E790" s="69"/>
      <c r="F790" s="69"/>
      <c r="G790" s="69"/>
      <c r="I790" s="70"/>
      <c r="J790" s="70"/>
      <c r="K790" s="70"/>
      <c r="L790" s="70"/>
      <c r="M790" s="70"/>
      <c r="N790" s="70"/>
      <c r="P790" s="71"/>
    </row>
    <row r="791" spans="2:16" x14ac:dyDescent="0.2">
      <c r="B791" s="68"/>
      <c r="C791" s="69"/>
      <c r="D791" s="69"/>
      <c r="E791" s="69"/>
      <c r="F791" s="69"/>
      <c r="G791" s="69"/>
      <c r="I791" s="70"/>
      <c r="J791" s="70"/>
      <c r="K791" s="70"/>
      <c r="L791" s="70"/>
      <c r="M791" s="70"/>
      <c r="N791" s="70"/>
      <c r="P791" s="71"/>
    </row>
    <row r="792" spans="2:16" x14ac:dyDescent="0.2">
      <c r="B792" s="68"/>
      <c r="C792" s="69"/>
      <c r="D792" s="69"/>
      <c r="E792" s="69"/>
      <c r="F792" s="69"/>
      <c r="G792" s="69"/>
      <c r="I792" s="70"/>
      <c r="J792" s="70"/>
      <c r="K792" s="70"/>
      <c r="L792" s="70"/>
      <c r="M792" s="70"/>
      <c r="N792" s="70"/>
      <c r="P792" s="71"/>
    </row>
    <row r="793" spans="2:16" x14ac:dyDescent="0.2">
      <c r="B793" s="68"/>
      <c r="C793" s="69"/>
      <c r="D793" s="69"/>
      <c r="E793" s="69"/>
      <c r="F793" s="69"/>
      <c r="G793" s="69"/>
      <c r="I793" s="70"/>
      <c r="J793" s="70"/>
      <c r="K793" s="70"/>
      <c r="L793" s="70"/>
      <c r="M793" s="70"/>
      <c r="N793" s="70"/>
      <c r="P793" s="71"/>
    </row>
    <row r="794" spans="2:16" x14ac:dyDescent="0.2">
      <c r="B794" s="68"/>
      <c r="C794" s="69"/>
      <c r="D794" s="69"/>
      <c r="E794" s="69"/>
      <c r="F794" s="69"/>
      <c r="G794" s="69"/>
      <c r="I794" s="70"/>
      <c r="J794" s="70"/>
      <c r="K794" s="70"/>
      <c r="L794" s="70"/>
      <c r="M794" s="70"/>
      <c r="N794" s="70"/>
      <c r="P794" s="71"/>
    </row>
    <row r="795" spans="2:16" x14ac:dyDescent="0.2">
      <c r="B795" s="68"/>
      <c r="C795" s="69"/>
      <c r="D795" s="69"/>
      <c r="E795" s="69"/>
      <c r="F795" s="69"/>
      <c r="G795" s="69"/>
      <c r="I795" s="70"/>
      <c r="J795" s="70"/>
      <c r="K795" s="70"/>
      <c r="L795" s="70"/>
      <c r="M795" s="70"/>
      <c r="N795" s="70"/>
      <c r="P795" s="71"/>
    </row>
    <row r="796" spans="2:16" x14ac:dyDescent="0.2">
      <c r="B796" s="68"/>
      <c r="C796" s="69"/>
      <c r="D796" s="69"/>
      <c r="E796" s="69"/>
      <c r="F796" s="69"/>
      <c r="G796" s="69"/>
      <c r="I796" s="70"/>
      <c r="J796" s="70"/>
      <c r="K796" s="70"/>
      <c r="L796" s="70"/>
      <c r="M796" s="70"/>
      <c r="N796" s="70"/>
      <c r="P796" s="71"/>
    </row>
    <row r="797" spans="2:16" x14ac:dyDescent="0.2">
      <c r="B797" s="68"/>
      <c r="C797" s="69"/>
      <c r="D797" s="69"/>
      <c r="E797" s="69"/>
      <c r="F797" s="69"/>
      <c r="G797" s="69"/>
      <c r="I797" s="70"/>
      <c r="J797" s="70"/>
      <c r="K797" s="70"/>
      <c r="L797" s="70"/>
      <c r="M797" s="70"/>
      <c r="N797" s="70"/>
      <c r="P797" s="71"/>
    </row>
    <row r="798" spans="2:16" x14ac:dyDescent="0.2">
      <c r="B798" s="68"/>
      <c r="C798" s="69"/>
      <c r="D798" s="69"/>
      <c r="E798" s="69"/>
      <c r="F798" s="69"/>
      <c r="G798" s="69"/>
      <c r="I798" s="70"/>
      <c r="J798" s="70"/>
      <c r="K798" s="70"/>
      <c r="L798" s="70"/>
      <c r="M798" s="70"/>
      <c r="N798" s="70"/>
      <c r="P798" s="71"/>
    </row>
    <row r="799" spans="2:16" x14ac:dyDescent="0.2">
      <c r="B799" s="68"/>
      <c r="C799" s="69"/>
      <c r="D799" s="69"/>
      <c r="E799" s="69"/>
      <c r="F799" s="69"/>
      <c r="G799" s="69"/>
      <c r="I799" s="70"/>
      <c r="J799" s="70"/>
      <c r="K799" s="70"/>
      <c r="L799" s="70"/>
      <c r="M799" s="70"/>
      <c r="N799" s="70"/>
      <c r="P799" s="71"/>
    </row>
    <row r="800" spans="2:16" x14ac:dyDescent="0.2">
      <c r="B800" s="68"/>
      <c r="C800" s="69"/>
      <c r="D800" s="69"/>
      <c r="E800" s="69"/>
      <c r="F800" s="69"/>
      <c r="G800" s="69"/>
      <c r="I800" s="70"/>
      <c r="J800" s="70"/>
      <c r="K800" s="70"/>
      <c r="L800" s="70"/>
      <c r="M800" s="70"/>
      <c r="N800" s="70"/>
      <c r="P800" s="71"/>
    </row>
    <row r="801" spans="2:16" x14ac:dyDescent="0.2">
      <c r="B801" s="68"/>
      <c r="C801" s="69"/>
      <c r="D801" s="69"/>
      <c r="E801" s="69"/>
      <c r="F801" s="69"/>
      <c r="G801" s="69"/>
      <c r="I801" s="70"/>
      <c r="J801" s="70"/>
      <c r="K801" s="70"/>
      <c r="L801" s="70"/>
      <c r="M801" s="70"/>
      <c r="N801" s="70"/>
      <c r="P801" s="71"/>
    </row>
    <row r="802" spans="2:16" x14ac:dyDescent="0.2">
      <c r="B802" s="68"/>
      <c r="C802" s="69"/>
      <c r="D802" s="69"/>
      <c r="E802" s="69"/>
      <c r="F802" s="69"/>
      <c r="G802" s="69"/>
      <c r="I802" s="70"/>
      <c r="J802" s="70"/>
      <c r="K802" s="70"/>
      <c r="L802" s="70"/>
      <c r="M802" s="70"/>
      <c r="N802" s="70"/>
      <c r="P802" s="71"/>
    </row>
    <row r="803" spans="2:16" x14ac:dyDescent="0.2">
      <c r="B803" s="68"/>
      <c r="C803" s="69"/>
      <c r="D803" s="69"/>
      <c r="E803" s="69"/>
      <c r="F803" s="69"/>
      <c r="G803" s="69"/>
      <c r="I803" s="70"/>
      <c r="J803" s="70"/>
      <c r="K803" s="70"/>
      <c r="L803" s="70"/>
      <c r="M803" s="70"/>
      <c r="N803" s="70"/>
      <c r="P803" s="71"/>
    </row>
    <row r="804" spans="2:16" x14ac:dyDescent="0.2">
      <c r="B804" s="68"/>
      <c r="C804" s="69"/>
      <c r="D804" s="69"/>
      <c r="E804" s="69"/>
      <c r="F804" s="69"/>
      <c r="G804" s="69"/>
      <c r="I804" s="70"/>
      <c r="J804" s="70"/>
      <c r="K804" s="70"/>
      <c r="L804" s="70"/>
      <c r="M804" s="70"/>
      <c r="N804" s="70"/>
      <c r="P804" s="71"/>
    </row>
    <row r="805" spans="2:16" x14ac:dyDescent="0.2">
      <c r="B805" s="68"/>
      <c r="C805" s="69"/>
      <c r="D805" s="69"/>
      <c r="E805" s="69"/>
      <c r="F805" s="69"/>
      <c r="G805" s="69"/>
      <c r="I805" s="70"/>
      <c r="J805" s="70"/>
      <c r="K805" s="70"/>
      <c r="L805" s="70"/>
      <c r="M805" s="70"/>
      <c r="N805" s="70"/>
      <c r="P805" s="71"/>
    </row>
    <row r="806" spans="2:16" x14ac:dyDescent="0.2">
      <c r="B806" s="68"/>
      <c r="C806" s="69"/>
      <c r="D806" s="69"/>
      <c r="E806" s="69"/>
      <c r="F806" s="69"/>
      <c r="G806" s="69"/>
      <c r="I806" s="70"/>
      <c r="J806" s="70"/>
      <c r="K806" s="70"/>
      <c r="L806" s="70"/>
      <c r="M806" s="70"/>
      <c r="N806" s="70"/>
      <c r="P806" s="71"/>
    </row>
    <row r="807" spans="2:16" x14ac:dyDescent="0.2">
      <c r="B807" s="68"/>
      <c r="C807" s="69"/>
      <c r="D807" s="69"/>
      <c r="E807" s="69"/>
      <c r="F807" s="69"/>
      <c r="G807" s="69"/>
      <c r="I807" s="70"/>
      <c r="J807" s="70"/>
      <c r="K807" s="70"/>
      <c r="L807" s="70"/>
      <c r="M807" s="70"/>
      <c r="N807" s="70"/>
      <c r="P807" s="71"/>
    </row>
    <row r="808" spans="2:16" x14ac:dyDescent="0.2">
      <c r="B808" s="68"/>
      <c r="C808" s="69"/>
      <c r="D808" s="69"/>
      <c r="E808" s="69"/>
      <c r="F808" s="69"/>
      <c r="G808" s="69"/>
      <c r="I808" s="70"/>
      <c r="J808" s="70"/>
      <c r="K808" s="70"/>
      <c r="L808" s="70"/>
      <c r="M808" s="70"/>
      <c r="N808" s="70"/>
      <c r="P808" s="71"/>
    </row>
    <row r="809" spans="2:16" x14ac:dyDescent="0.2">
      <c r="B809" s="68"/>
      <c r="C809" s="69"/>
      <c r="D809" s="69"/>
      <c r="E809" s="69"/>
      <c r="F809" s="69"/>
      <c r="G809" s="69"/>
      <c r="I809" s="70"/>
      <c r="J809" s="70"/>
      <c r="K809" s="70"/>
      <c r="L809" s="70"/>
      <c r="M809" s="70"/>
      <c r="N809" s="70"/>
      <c r="P809" s="71"/>
    </row>
    <row r="810" spans="2:16" x14ac:dyDescent="0.2">
      <c r="B810" s="68"/>
      <c r="C810" s="69"/>
      <c r="D810" s="69"/>
      <c r="E810" s="69"/>
      <c r="F810" s="69"/>
      <c r="G810" s="69"/>
      <c r="I810" s="70"/>
      <c r="J810" s="70"/>
      <c r="K810" s="70"/>
      <c r="L810" s="70"/>
      <c r="M810" s="70"/>
      <c r="N810" s="70"/>
      <c r="P810" s="71"/>
    </row>
    <row r="811" spans="2:16" x14ac:dyDescent="0.2">
      <c r="B811" s="68"/>
      <c r="C811" s="69"/>
      <c r="D811" s="69"/>
      <c r="E811" s="69"/>
      <c r="F811" s="69"/>
      <c r="G811" s="69"/>
      <c r="I811" s="70"/>
      <c r="J811" s="70"/>
      <c r="K811" s="70"/>
      <c r="L811" s="70"/>
      <c r="M811" s="70"/>
      <c r="N811" s="70"/>
      <c r="P811" s="71"/>
    </row>
    <row r="812" spans="2:16" x14ac:dyDescent="0.2">
      <c r="B812" s="68"/>
      <c r="C812" s="69"/>
      <c r="D812" s="69"/>
      <c r="E812" s="69"/>
      <c r="F812" s="69"/>
      <c r="G812" s="69"/>
      <c r="I812" s="70"/>
      <c r="J812" s="70"/>
      <c r="K812" s="70"/>
      <c r="L812" s="70"/>
      <c r="M812" s="70"/>
      <c r="N812" s="70"/>
      <c r="P812" s="71"/>
    </row>
    <row r="813" spans="2:16" x14ac:dyDescent="0.2">
      <c r="B813" s="68"/>
      <c r="C813" s="69"/>
      <c r="D813" s="69"/>
      <c r="E813" s="69"/>
      <c r="F813" s="69"/>
      <c r="G813" s="69"/>
      <c r="I813" s="70"/>
      <c r="J813" s="70"/>
      <c r="K813" s="70"/>
      <c r="L813" s="70"/>
      <c r="M813" s="70"/>
      <c r="N813" s="70"/>
      <c r="P813" s="71"/>
    </row>
    <row r="814" spans="2:16" x14ac:dyDescent="0.2">
      <c r="B814" s="68"/>
      <c r="C814" s="69"/>
      <c r="D814" s="69"/>
      <c r="E814" s="69"/>
      <c r="F814" s="69"/>
      <c r="G814" s="69"/>
      <c r="I814" s="70"/>
      <c r="J814" s="70"/>
      <c r="K814" s="70"/>
      <c r="L814" s="70"/>
      <c r="M814" s="70"/>
      <c r="N814" s="70"/>
      <c r="P814" s="71"/>
    </row>
    <row r="815" spans="2:16" x14ac:dyDescent="0.2">
      <c r="B815" s="68"/>
      <c r="C815" s="69"/>
      <c r="D815" s="69"/>
      <c r="E815" s="69"/>
      <c r="F815" s="69"/>
      <c r="G815" s="69"/>
      <c r="I815" s="70"/>
      <c r="J815" s="70"/>
      <c r="K815" s="70"/>
      <c r="L815" s="70"/>
      <c r="M815" s="70"/>
      <c r="N815" s="70"/>
      <c r="P815" s="71"/>
    </row>
    <row r="816" spans="2:16" x14ac:dyDescent="0.2">
      <c r="B816" s="68"/>
      <c r="C816" s="69"/>
      <c r="D816" s="69"/>
      <c r="E816" s="69"/>
      <c r="F816" s="69"/>
      <c r="G816" s="69"/>
      <c r="I816" s="70"/>
      <c r="J816" s="70"/>
      <c r="K816" s="70"/>
      <c r="L816" s="70"/>
      <c r="M816" s="70"/>
      <c r="N816" s="70"/>
      <c r="P816" s="71"/>
    </row>
    <row r="817" spans="2:16" x14ac:dyDescent="0.2">
      <c r="B817" s="68"/>
      <c r="C817" s="69"/>
      <c r="D817" s="69"/>
      <c r="E817" s="69"/>
      <c r="F817" s="69"/>
      <c r="G817" s="69"/>
      <c r="I817" s="70"/>
      <c r="J817" s="70"/>
      <c r="K817" s="70"/>
      <c r="L817" s="70"/>
      <c r="M817" s="70"/>
      <c r="N817" s="70"/>
      <c r="P817" s="71"/>
    </row>
    <row r="818" spans="2:16" x14ac:dyDescent="0.2">
      <c r="B818" s="68"/>
      <c r="C818" s="69"/>
      <c r="D818" s="69"/>
      <c r="E818" s="69"/>
      <c r="F818" s="69"/>
      <c r="G818" s="69"/>
      <c r="I818" s="70"/>
      <c r="J818" s="70"/>
      <c r="K818" s="70"/>
      <c r="L818" s="70"/>
      <c r="M818" s="70"/>
      <c r="N818" s="70"/>
      <c r="P818" s="71"/>
    </row>
    <row r="819" spans="2:16" x14ac:dyDescent="0.2">
      <c r="B819" s="68"/>
      <c r="C819" s="69"/>
      <c r="D819" s="69"/>
      <c r="E819" s="69"/>
      <c r="F819" s="69"/>
      <c r="G819" s="69"/>
      <c r="I819" s="70"/>
      <c r="J819" s="70"/>
      <c r="K819" s="70"/>
      <c r="L819" s="70"/>
      <c r="M819" s="70"/>
      <c r="N819" s="70"/>
      <c r="P819" s="71"/>
    </row>
    <row r="820" spans="2:16" x14ac:dyDescent="0.2">
      <c r="B820" s="68"/>
      <c r="C820" s="69"/>
      <c r="D820" s="69"/>
      <c r="E820" s="69"/>
      <c r="F820" s="69"/>
      <c r="G820" s="69"/>
      <c r="I820" s="70"/>
      <c r="J820" s="70"/>
      <c r="K820" s="70"/>
      <c r="L820" s="70"/>
      <c r="M820" s="70"/>
      <c r="N820" s="70"/>
      <c r="P820" s="71"/>
    </row>
    <row r="821" spans="2:16" x14ac:dyDescent="0.2">
      <c r="B821" s="68"/>
      <c r="C821" s="69"/>
      <c r="D821" s="69"/>
      <c r="E821" s="69"/>
      <c r="F821" s="69"/>
      <c r="G821" s="69"/>
      <c r="I821" s="70"/>
      <c r="J821" s="70"/>
      <c r="K821" s="70"/>
      <c r="L821" s="70"/>
      <c r="M821" s="70"/>
      <c r="N821" s="70"/>
      <c r="P821" s="71"/>
    </row>
    <row r="822" spans="2:16" x14ac:dyDescent="0.2">
      <c r="B822" s="68"/>
      <c r="C822" s="69"/>
      <c r="D822" s="69"/>
      <c r="E822" s="69"/>
      <c r="F822" s="69"/>
      <c r="G822" s="69"/>
      <c r="I822" s="70"/>
      <c r="J822" s="70"/>
      <c r="K822" s="70"/>
      <c r="L822" s="70"/>
      <c r="M822" s="70"/>
      <c r="N822" s="70"/>
      <c r="P822" s="71"/>
    </row>
    <row r="823" spans="2:16" x14ac:dyDescent="0.2">
      <c r="B823" s="68"/>
      <c r="C823" s="69"/>
      <c r="D823" s="69"/>
      <c r="E823" s="69"/>
      <c r="F823" s="69"/>
      <c r="G823" s="69"/>
      <c r="I823" s="70"/>
      <c r="J823" s="70"/>
      <c r="K823" s="70"/>
      <c r="L823" s="70"/>
      <c r="M823" s="70"/>
      <c r="N823" s="70"/>
      <c r="P823" s="71"/>
    </row>
    <row r="824" spans="2:16" x14ac:dyDescent="0.2">
      <c r="B824" s="68"/>
      <c r="C824" s="69"/>
      <c r="D824" s="69"/>
      <c r="E824" s="69"/>
      <c r="F824" s="69"/>
      <c r="G824" s="69"/>
      <c r="I824" s="70"/>
      <c r="J824" s="70"/>
      <c r="K824" s="70"/>
      <c r="L824" s="70"/>
      <c r="M824" s="70"/>
      <c r="N824" s="70"/>
      <c r="P824" s="71"/>
    </row>
    <row r="825" spans="2:16" x14ac:dyDescent="0.2">
      <c r="B825" s="68"/>
      <c r="C825" s="69"/>
      <c r="D825" s="69"/>
      <c r="E825" s="69"/>
      <c r="F825" s="69"/>
      <c r="G825" s="69"/>
      <c r="I825" s="70"/>
      <c r="J825" s="70"/>
      <c r="K825" s="70"/>
      <c r="L825" s="70"/>
      <c r="M825" s="70"/>
      <c r="N825" s="70"/>
      <c r="P825" s="71"/>
    </row>
    <row r="826" spans="2:16" x14ac:dyDescent="0.2">
      <c r="B826" s="68"/>
      <c r="C826" s="69"/>
      <c r="D826" s="69"/>
      <c r="E826" s="69"/>
      <c r="F826" s="69"/>
      <c r="G826" s="69"/>
      <c r="I826" s="70"/>
      <c r="J826" s="70"/>
      <c r="K826" s="70"/>
      <c r="L826" s="70"/>
      <c r="M826" s="70"/>
      <c r="N826" s="70"/>
      <c r="P826" s="71"/>
    </row>
    <row r="827" spans="2:16" x14ac:dyDescent="0.2">
      <c r="B827" s="68"/>
      <c r="C827" s="69"/>
      <c r="D827" s="69"/>
      <c r="E827" s="69"/>
      <c r="F827" s="69"/>
      <c r="G827" s="69"/>
      <c r="I827" s="70"/>
      <c r="J827" s="70"/>
      <c r="K827" s="70"/>
      <c r="L827" s="70"/>
      <c r="M827" s="70"/>
      <c r="N827" s="70"/>
      <c r="P827" s="71"/>
    </row>
    <row r="828" spans="2:16" x14ac:dyDescent="0.2">
      <c r="B828" s="68"/>
      <c r="C828" s="69"/>
      <c r="D828" s="69"/>
      <c r="E828" s="69"/>
      <c r="F828" s="69"/>
      <c r="G828" s="69"/>
      <c r="I828" s="70"/>
      <c r="J828" s="70"/>
      <c r="K828" s="70"/>
      <c r="L828" s="70"/>
      <c r="M828" s="70"/>
      <c r="N828" s="70"/>
      <c r="P828" s="71"/>
    </row>
    <row r="829" spans="2:16" x14ac:dyDescent="0.2">
      <c r="B829" s="68"/>
      <c r="C829" s="69"/>
      <c r="D829" s="69"/>
      <c r="E829" s="69"/>
      <c r="F829" s="69"/>
      <c r="G829" s="69"/>
      <c r="I829" s="70"/>
      <c r="J829" s="70"/>
      <c r="K829" s="70"/>
      <c r="L829" s="70"/>
      <c r="M829" s="70"/>
      <c r="N829" s="70"/>
      <c r="P829" s="71"/>
    </row>
    <row r="830" spans="2:16" x14ac:dyDescent="0.2">
      <c r="B830" s="68"/>
      <c r="C830" s="69"/>
      <c r="D830" s="69"/>
      <c r="E830" s="69"/>
      <c r="F830" s="69"/>
      <c r="G830" s="69"/>
      <c r="I830" s="70"/>
      <c r="J830" s="70"/>
      <c r="K830" s="70"/>
      <c r="L830" s="70"/>
      <c r="M830" s="70"/>
      <c r="N830" s="70"/>
      <c r="P830" s="71"/>
    </row>
    <row r="831" spans="2:16" x14ac:dyDescent="0.2">
      <c r="B831" s="68"/>
      <c r="C831" s="69"/>
      <c r="D831" s="69"/>
      <c r="E831" s="69"/>
      <c r="F831" s="69"/>
      <c r="G831" s="69"/>
      <c r="I831" s="70"/>
      <c r="J831" s="70"/>
      <c r="K831" s="70"/>
      <c r="L831" s="70"/>
      <c r="M831" s="70"/>
      <c r="N831" s="70"/>
      <c r="P831" s="71"/>
    </row>
    <row r="832" spans="2:16" x14ac:dyDescent="0.2">
      <c r="B832" s="68"/>
      <c r="C832" s="69"/>
      <c r="D832" s="69"/>
      <c r="E832" s="69"/>
      <c r="F832" s="69"/>
      <c r="G832" s="69"/>
      <c r="I832" s="70"/>
      <c r="J832" s="70"/>
      <c r="K832" s="70"/>
      <c r="L832" s="70"/>
      <c r="M832" s="70"/>
      <c r="N832" s="70"/>
      <c r="P832" s="71"/>
    </row>
    <row r="833" spans="2:16" x14ac:dyDescent="0.2">
      <c r="B833" s="68"/>
      <c r="C833" s="69"/>
      <c r="D833" s="69"/>
      <c r="E833" s="69"/>
      <c r="F833" s="69"/>
      <c r="G833" s="69"/>
      <c r="I833" s="70"/>
      <c r="J833" s="70"/>
      <c r="K833" s="70"/>
      <c r="L833" s="70"/>
      <c r="M833" s="70"/>
      <c r="N833" s="70"/>
      <c r="P833" s="71"/>
    </row>
    <row r="834" spans="2:16" x14ac:dyDescent="0.2">
      <c r="B834" s="68"/>
      <c r="C834" s="69"/>
      <c r="D834" s="69"/>
      <c r="E834" s="69"/>
      <c r="F834" s="69"/>
      <c r="G834" s="69"/>
      <c r="I834" s="70"/>
      <c r="J834" s="70"/>
      <c r="K834" s="70"/>
      <c r="L834" s="70"/>
      <c r="M834" s="70"/>
      <c r="N834" s="70"/>
      <c r="P834" s="71"/>
    </row>
    <row r="835" spans="2:16" x14ac:dyDescent="0.2">
      <c r="B835" s="68"/>
      <c r="C835" s="69"/>
      <c r="D835" s="69"/>
      <c r="E835" s="69"/>
      <c r="F835" s="69"/>
      <c r="G835" s="69"/>
      <c r="I835" s="70"/>
      <c r="J835" s="70"/>
      <c r="K835" s="70"/>
      <c r="L835" s="70"/>
      <c r="M835" s="70"/>
      <c r="N835" s="70"/>
      <c r="P835" s="71"/>
    </row>
    <row r="836" spans="2:16" x14ac:dyDescent="0.2">
      <c r="B836" s="68"/>
      <c r="C836" s="69"/>
      <c r="D836" s="69"/>
      <c r="E836" s="69"/>
      <c r="F836" s="69"/>
      <c r="G836" s="69"/>
      <c r="I836" s="70"/>
      <c r="J836" s="70"/>
      <c r="K836" s="70"/>
      <c r="L836" s="70"/>
      <c r="M836" s="70"/>
      <c r="N836" s="70"/>
      <c r="P836" s="71"/>
    </row>
    <row r="837" spans="2:16" x14ac:dyDescent="0.2">
      <c r="B837" s="68"/>
      <c r="C837" s="69"/>
      <c r="D837" s="69"/>
      <c r="E837" s="69"/>
      <c r="F837" s="69"/>
      <c r="G837" s="69"/>
      <c r="I837" s="70"/>
      <c r="J837" s="70"/>
      <c r="K837" s="70"/>
      <c r="L837" s="70"/>
      <c r="M837" s="70"/>
      <c r="N837" s="70"/>
      <c r="P837" s="71"/>
    </row>
    <row r="838" spans="2:16" x14ac:dyDescent="0.2">
      <c r="B838" s="68"/>
      <c r="C838" s="69"/>
      <c r="D838" s="69"/>
      <c r="E838" s="69"/>
      <c r="F838" s="69"/>
      <c r="G838" s="69"/>
      <c r="I838" s="70"/>
      <c r="J838" s="70"/>
      <c r="K838" s="70"/>
      <c r="L838" s="70"/>
      <c r="M838" s="70"/>
      <c r="N838" s="70"/>
      <c r="P838" s="71"/>
    </row>
    <row r="839" spans="2:16" x14ac:dyDescent="0.2">
      <c r="B839" s="68"/>
      <c r="C839" s="69"/>
      <c r="D839" s="69"/>
      <c r="E839" s="69"/>
      <c r="F839" s="69"/>
      <c r="G839" s="69"/>
      <c r="I839" s="70"/>
      <c r="J839" s="70"/>
      <c r="K839" s="70"/>
      <c r="L839" s="70"/>
      <c r="M839" s="70"/>
      <c r="N839" s="70"/>
      <c r="P839" s="71"/>
    </row>
    <row r="840" spans="2:16" x14ac:dyDescent="0.2">
      <c r="B840" s="68"/>
      <c r="C840" s="69"/>
      <c r="D840" s="69"/>
      <c r="E840" s="69"/>
      <c r="F840" s="69"/>
      <c r="G840" s="69"/>
      <c r="I840" s="70"/>
      <c r="J840" s="70"/>
      <c r="K840" s="70"/>
      <c r="L840" s="70"/>
      <c r="M840" s="70"/>
      <c r="N840" s="70"/>
      <c r="P840" s="71"/>
    </row>
    <row r="841" spans="2:16" x14ac:dyDescent="0.2">
      <c r="B841" s="68"/>
      <c r="C841" s="69"/>
      <c r="D841" s="69"/>
      <c r="E841" s="69"/>
      <c r="F841" s="69"/>
      <c r="G841" s="69"/>
      <c r="I841" s="70"/>
      <c r="J841" s="70"/>
      <c r="K841" s="70"/>
      <c r="L841" s="70"/>
      <c r="M841" s="70"/>
      <c r="N841" s="70"/>
      <c r="P841" s="71"/>
    </row>
    <row r="842" spans="2:16" x14ac:dyDescent="0.2">
      <c r="B842" s="68"/>
      <c r="C842" s="69"/>
      <c r="D842" s="69"/>
      <c r="E842" s="69"/>
      <c r="F842" s="69"/>
      <c r="G842" s="69"/>
      <c r="I842" s="70"/>
      <c r="J842" s="70"/>
      <c r="K842" s="70"/>
      <c r="L842" s="70"/>
      <c r="M842" s="70"/>
      <c r="N842" s="70"/>
      <c r="P842" s="71"/>
    </row>
    <row r="843" spans="2:16" x14ac:dyDescent="0.2">
      <c r="B843" s="68"/>
      <c r="C843" s="69"/>
      <c r="D843" s="69"/>
      <c r="E843" s="69"/>
      <c r="F843" s="69"/>
      <c r="G843" s="69"/>
      <c r="I843" s="70"/>
      <c r="J843" s="70"/>
      <c r="K843" s="70"/>
      <c r="L843" s="70"/>
      <c r="M843" s="70"/>
      <c r="N843" s="70"/>
      <c r="P843" s="71"/>
    </row>
    <row r="844" spans="2:16" x14ac:dyDescent="0.2">
      <c r="B844" s="68"/>
      <c r="C844" s="69"/>
      <c r="D844" s="69"/>
      <c r="E844" s="69"/>
      <c r="F844" s="69"/>
      <c r="G844" s="69"/>
      <c r="I844" s="70"/>
      <c r="J844" s="70"/>
      <c r="K844" s="70"/>
      <c r="L844" s="70"/>
      <c r="M844" s="70"/>
      <c r="N844" s="70"/>
      <c r="P844" s="71"/>
    </row>
    <row r="845" spans="2:16" x14ac:dyDescent="0.2">
      <c r="B845" s="68"/>
      <c r="C845" s="69"/>
      <c r="D845" s="69"/>
      <c r="E845" s="69"/>
      <c r="F845" s="69"/>
      <c r="G845" s="69"/>
      <c r="I845" s="70"/>
      <c r="J845" s="70"/>
      <c r="K845" s="70"/>
      <c r="L845" s="70"/>
      <c r="M845" s="70"/>
      <c r="N845" s="70"/>
      <c r="P845" s="71"/>
    </row>
    <row r="846" spans="2:16" x14ac:dyDescent="0.2">
      <c r="B846" s="68"/>
      <c r="C846" s="69"/>
      <c r="D846" s="69"/>
      <c r="E846" s="69"/>
      <c r="F846" s="69"/>
      <c r="G846" s="69"/>
      <c r="I846" s="70"/>
      <c r="J846" s="70"/>
      <c r="K846" s="70"/>
      <c r="L846" s="70"/>
      <c r="M846" s="70"/>
      <c r="N846" s="70"/>
      <c r="P846" s="71"/>
    </row>
    <row r="847" spans="2:16" x14ac:dyDescent="0.2">
      <c r="B847" s="68"/>
      <c r="C847" s="69"/>
      <c r="D847" s="69"/>
      <c r="E847" s="69"/>
      <c r="F847" s="69"/>
      <c r="G847" s="69"/>
      <c r="I847" s="70"/>
      <c r="J847" s="70"/>
      <c r="K847" s="70"/>
      <c r="L847" s="70"/>
      <c r="M847" s="70"/>
      <c r="N847" s="70"/>
      <c r="P847" s="71"/>
    </row>
    <row r="848" spans="2:16" x14ac:dyDescent="0.2">
      <c r="B848" s="68"/>
      <c r="C848" s="69"/>
      <c r="D848" s="69"/>
      <c r="E848" s="69"/>
      <c r="F848" s="69"/>
      <c r="G848" s="69"/>
      <c r="I848" s="70"/>
      <c r="J848" s="70"/>
      <c r="K848" s="70"/>
      <c r="L848" s="70"/>
      <c r="M848" s="70"/>
      <c r="N848" s="70"/>
      <c r="P848" s="71"/>
    </row>
    <row r="849" spans="2:16" x14ac:dyDescent="0.2">
      <c r="B849" s="68"/>
      <c r="C849" s="69"/>
      <c r="D849" s="69"/>
      <c r="E849" s="69"/>
      <c r="F849" s="69"/>
      <c r="G849" s="69"/>
      <c r="I849" s="70"/>
      <c r="J849" s="70"/>
      <c r="K849" s="70"/>
      <c r="L849" s="70"/>
      <c r="M849" s="70"/>
      <c r="N849" s="70"/>
      <c r="P849" s="71"/>
    </row>
    <row r="850" spans="2:16" x14ac:dyDescent="0.2">
      <c r="B850" s="68"/>
      <c r="C850" s="69"/>
      <c r="D850" s="69"/>
      <c r="E850" s="69"/>
      <c r="F850" s="69"/>
      <c r="G850" s="69"/>
      <c r="I850" s="70"/>
      <c r="J850" s="70"/>
      <c r="K850" s="70"/>
      <c r="L850" s="70"/>
      <c r="M850" s="70"/>
      <c r="N850" s="70"/>
      <c r="P850" s="71"/>
    </row>
    <row r="851" spans="2:16" x14ac:dyDescent="0.2">
      <c r="B851" s="68"/>
      <c r="C851" s="69"/>
      <c r="D851" s="69"/>
      <c r="E851" s="69"/>
      <c r="F851" s="69"/>
      <c r="G851" s="69"/>
      <c r="I851" s="70"/>
      <c r="J851" s="70"/>
      <c r="K851" s="70"/>
      <c r="L851" s="70"/>
      <c r="M851" s="70"/>
      <c r="N851" s="70"/>
      <c r="P851" s="71"/>
    </row>
    <row r="852" spans="2:16" x14ac:dyDescent="0.2">
      <c r="B852" s="68"/>
      <c r="C852" s="69"/>
      <c r="D852" s="69"/>
      <c r="E852" s="69"/>
      <c r="F852" s="69"/>
      <c r="G852" s="69"/>
      <c r="I852" s="70"/>
      <c r="J852" s="70"/>
      <c r="K852" s="70"/>
      <c r="L852" s="70"/>
      <c r="M852" s="70"/>
      <c r="N852" s="70"/>
      <c r="P852" s="71"/>
    </row>
    <row r="853" spans="2:16" x14ac:dyDescent="0.2">
      <c r="B853" s="68"/>
      <c r="C853" s="69"/>
      <c r="D853" s="69"/>
      <c r="E853" s="69"/>
      <c r="F853" s="69"/>
      <c r="G853" s="69"/>
      <c r="I853" s="70"/>
      <c r="J853" s="70"/>
      <c r="K853" s="70"/>
      <c r="L853" s="70"/>
      <c r="M853" s="70"/>
      <c r="N853" s="70"/>
      <c r="P853" s="71"/>
    </row>
    <row r="854" spans="2:16" x14ac:dyDescent="0.2">
      <c r="B854" s="68"/>
      <c r="C854" s="69"/>
      <c r="D854" s="69"/>
      <c r="E854" s="69"/>
      <c r="F854" s="69"/>
      <c r="G854" s="69"/>
      <c r="I854" s="70"/>
      <c r="J854" s="70"/>
      <c r="K854" s="70"/>
      <c r="L854" s="70"/>
      <c r="M854" s="70"/>
      <c r="N854" s="70"/>
      <c r="P854" s="71"/>
    </row>
    <row r="855" spans="2:16" x14ac:dyDescent="0.2">
      <c r="B855" s="68"/>
      <c r="C855" s="69"/>
      <c r="D855" s="69"/>
      <c r="E855" s="69"/>
      <c r="F855" s="69"/>
      <c r="G855" s="69"/>
      <c r="I855" s="70"/>
      <c r="J855" s="70"/>
      <c r="K855" s="70"/>
      <c r="L855" s="70"/>
      <c r="M855" s="70"/>
      <c r="N855" s="70"/>
      <c r="P855" s="71"/>
    </row>
    <row r="856" spans="2:16" x14ac:dyDescent="0.2">
      <c r="B856" s="68"/>
      <c r="C856" s="69"/>
      <c r="D856" s="69"/>
      <c r="E856" s="69"/>
      <c r="F856" s="69"/>
      <c r="G856" s="69"/>
      <c r="I856" s="70"/>
      <c r="J856" s="70"/>
      <c r="K856" s="70"/>
      <c r="L856" s="70"/>
      <c r="M856" s="70"/>
      <c r="N856" s="70"/>
      <c r="P856" s="71"/>
    </row>
    <row r="857" spans="2:16" x14ac:dyDescent="0.2">
      <c r="B857" s="68"/>
      <c r="C857" s="69"/>
      <c r="D857" s="69"/>
      <c r="E857" s="69"/>
      <c r="F857" s="69"/>
      <c r="G857" s="69"/>
      <c r="I857" s="70"/>
      <c r="J857" s="70"/>
      <c r="K857" s="70"/>
      <c r="L857" s="70"/>
      <c r="M857" s="70"/>
      <c r="N857" s="70"/>
      <c r="P857" s="71"/>
    </row>
    <row r="858" spans="2:16" x14ac:dyDescent="0.2">
      <c r="B858" s="68"/>
      <c r="C858" s="69"/>
      <c r="D858" s="69"/>
      <c r="E858" s="69"/>
      <c r="F858" s="69"/>
      <c r="G858" s="69"/>
      <c r="I858" s="70"/>
      <c r="J858" s="70"/>
      <c r="K858" s="70"/>
      <c r="L858" s="70"/>
      <c r="M858" s="70"/>
      <c r="N858" s="70"/>
      <c r="P858" s="71"/>
    </row>
    <row r="859" spans="2:16" x14ac:dyDescent="0.2">
      <c r="B859" s="68"/>
      <c r="C859" s="69"/>
      <c r="D859" s="69"/>
      <c r="E859" s="69"/>
      <c r="F859" s="69"/>
      <c r="G859" s="69"/>
      <c r="I859" s="70"/>
      <c r="J859" s="70"/>
      <c r="K859" s="70"/>
      <c r="L859" s="70"/>
      <c r="M859" s="70"/>
      <c r="N859" s="70"/>
      <c r="P859" s="71"/>
    </row>
    <row r="860" spans="2:16" x14ac:dyDescent="0.2">
      <c r="B860" s="68"/>
      <c r="C860" s="69"/>
      <c r="D860" s="69"/>
      <c r="E860" s="69"/>
      <c r="F860" s="69"/>
      <c r="G860" s="69"/>
      <c r="I860" s="70"/>
      <c r="J860" s="70"/>
      <c r="K860" s="70"/>
      <c r="L860" s="70"/>
      <c r="M860" s="70"/>
      <c r="N860" s="70"/>
      <c r="P860" s="71"/>
    </row>
    <row r="861" spans="2:16" x14ac:dyDescent="0.2">
      <c r="B861" s="68"/>
      <c r="C861" s="69"/>
      <c r="D861" s="69"/>
      <c r="E861" s="69"/>
      <c r="F861" s="69"/>
      <c r="G861" s="69"/>
      <c r="I861" s="70"/>
      <c r="J861" s="70"/>
      <c r="K861" s="70"/>
      <c r="L861" s="70"/>
      <c r="M861" s="70"/>
      <c r="N861" s="70"/>
      <c r="P861" s="71"/>
    </row>
    <row r="862" spans="2:16" x14ac:dyDescent="0.2">
      <c r="B862" s="68"/>
      <c r="C862" s="69"/>
      <c r="D862" s="69"/>
      <c r="E862" s="69"/>
      <c r="F862" s="69"/>
      <c r="G862" s="69"/>
      <c r="I862" s="70"/>
      <c r="J862" s="70"/>
      <c r="K862" s="70"/>
      <c r="L862" s="70"/>
      <c r="M862" s="70"/>
      <c r="N862" s="70"/>
      <c r="P862" s="71"/>
    </row>
    <row r="863" spans="2:16" x14ac:dyDescent="0.2">
      <c r="B863" s="68"/>
      <c r="C863" s="69"/>
      <c r="D863" s="69"/>
      <c r="E863" s="69"/>
      <c r="F863" s="69"/>
      <c r="G863" s="69"/>
      <c r="I863" s="70"/>
      <c r="J863" s="70"/>
      <c r="K863" s="70"/>
      <c r="L863" s="70"/>
      <c r="M863" s="70"/>
      <c r="N863" s="70"/>
      <c r="P863" s="71"/>
    </row>
    <row r="864" spans="2:16" x14ac:dyDescent="0.2">
      <c r="B864" s="68"/>
      <c r="C864" s="69"/>
      <c r="D864" s="69"/>
      <c r="E864" s="69"/>
      <c r="F864" s="69"/>
      <c r="G864" s="69"/>
      <c r="I864" s="70"/>
      <c r="J864" s="70"/>
      <c r="K864" s="70"/>
      <c r="L864" s="70"/>
      <c r="M864" s="70"/>
      <c r="N864" s="70"/>
      <c r="P864" s="71"/>
    </row>
    <row r="865" spans="2:16" x14ac:dyDescent="0.2">
      <c r="B865" s="68"/>
      <c r="C865" s="69"/>
      <c r="D865" s="69"/>
      <c r="E865" s="69"/>
      <c r="F865" s="69"/>
      <c r="G865" s="69"/>
      <c r="I865" s="70"/>
      <c r="J865" s="70"/>
      <c r="K865" s="70"/>
      <c r="L865" s="70"/>
      <c r="M865" s="70"/>
      <c r="N865" s="70"/>
      <c r="P865" s="71"/>
    </row>
    <row r="866" spans="2:16" x14ac:dyDescent="0.2">
      <c r="B866" s="68"/>
      <c r="C866" s="69"/>
      <c r="D866" s="69"/>
      <c r="E866" s="69"/>
      <c r="F866" s="69"/>
      <c r="G866" s="69"/>
      <c r="I866" s="70"/>
      <c r="J866" s="70"/>
      <c r="K866" s="70"/>
      <c r="L866" s="70"/>
      <c r="M866" s="70"/>
      <c r="N866" s="70"/>
      <c r="P866" s="71"/>
    </row>
    <row r="867" spans="2:16" x14ac:dyDescent="0.2">
      <c r="B867" s="68"/>
      <c r="C867" s="69"/>
      <c r="D867" s="69"/>
      <c r="E867" s="69"/>
      <c r="F867" s="69"/>
      <c r="G867" s="69"/>
      <c r="I867" s="70"/>
      <c r="J867" s="70"/>
      <c r="K867" s="70"/>
      <c r="L867" s="70"/>
      <c r="M867" s="70"/>
      <c r="N867" s="70"/>
      <c r="P867" s="71"/>
    </row>
    <row r="868" spans="2:16" x14ac:dyDescent="0.2">
      <c r="B868" s="68"/>
      <c r="C868" s="69"/>
      <c r="D868" s="69"/>
      <c r="E868" s="69"/>
      <c r="F868" s="69"/>
      <c r="G868" s="69"/>
      <c r="I868" s="70"/>
      <c r="J868" s="70"/>
      <c r="K868" s="70"/>
      <c r="L868" s="70"/>
      <c r="M868" s="70"/>
      <c r="N868" s="70"/>
      <c r="P868" s="71"/>
    </row>
    <row r="869" spans="2:16" x14ac:dyDescent="0.2">
      <c r="B869" s="68"/>
      <c r="C869" s="69"/>
      <c r="D869" s="69"/>
      <c r="E869" s="69"/>
      <c r="F869" s="69"/>
      <c r="G869" s="69"/>
      <c r="I869" s="70"/>
      <c r="J869" s="70"/>
      <c r="K869" s="70"/>
      <c r="L869" s="70"/>
      <c r="M869" s="70"/>
      <c r="N869" s="70"/>
      <c r="P869" s="71"/>
    </row>
    <row r="870" spans="2:16" x14ac:dyDescent="0.2">
      <c r="B870" s="68"/>
      <c r="C870" s="69"/>
      <c r="D870" s="69"/>
      <c r="E870" s="69"/>
      <c r="F870" s="69"/>
      <c r="G870" s="69"/>
      <c r="I870" s="70"/>
      <c r="J870" s="70"/>
      <c r="K870" s="70"/>
      <c r="L870" s="70"/>
      <c r="M870" s="70"/>
      <c r="N870" s="70"/>
      <c r="P870" s="71"/>
    </row>
    <row r="871" spans="2:16" x14ac:dyDescent="0.2">
      <c r="B871" s="68"/>
      <c r="C871" s="69"/>
      <c r="D871" s="69"/>
      <c r="E871" s="69"/>
      <c r="F871" s="69"/>
      <c r="G871" s="69"/>
      <c r="I871" s="70"/>
      <c r="J871" s="70"/>
      <c r="K871" s="70"/>
      <c r="L871" s="70"/>
      <c r="M871" s="70"/>
      <c r="N871" s="70"/>
      <c r="P871" s="71"/>
    </row>
    <row r="872" spans="2:16" x14ac:dyDescent="0.2">
      <c r="B872" s="68"/>
      <c r="C872" s="69"/>
      <c r="D872" s="69"/>
      <c r="E872" s="69"/>
      <c r="F872" s="69"/>
      <c r="G872" s="69"/>
      <c r="I872" s="70"/>
      <c r="J872" s="70"/>
      <c r="K872" s="70"/>
      <c r="L872" s="70"/>
      <c r="M872" s="70"/>
      <c r="N872" s="70"/>
      <c r="P872" s="71"/>
    </row>
    <row r="873" spans="2:16" x14ac:dyDescent="0.2">
      <c r="B873" s="68"/>
      <c r="C873" s="69"/>
      <c r="D873" s="69"/>
      <c r="E873" s="69"/>
      <c r="F873" s="69"/>
      <c r="G873" s="69"/>
      <c r="I873" s="70"/>
      <c r="J873" s="70"/>
      <c r="K873" s="70"/>
      <c r="L873" s="70"/>
      <c r="M873" s="70"/>
      <c r="N873" s="70"/>
      <c r="P873" s="71"/>
    </row>
    <row r="874" spans="2:16" x14ac:dyDescent="0.2">
      <c r="B874" s="68"/>
      <c r="C874" s="69"/>
      <c r="D874" s="69"/>
      <c r="E874" s="69"/>
      <c r="F874" s="69"/>
      <c r="G874" s="69"/>
      <c r="I874" s="70"/>
      <c r="J874" s="70"/>
      <c r="K874" s="70"/>
      <c r="L874" s="70"/>
      <c r="M874" s="70"/>
      <c r="N874" s="70"/>
      <c r="P874" s="71"/>
    </row>
    <row r="875" spans="2:16" x14ac:dyDescent="0.2">
      <c r="B875" s="68"/>
      <c r="C875" s="69"/>
      <c r="D875" s="69"/>
      <c r="E875" s="69"/>
      <c r="F875" s="69"/>
      <c r="G875" s="69"/>
      <c r="I875" s="70"/>
      <c r="J875" s="70"/>
      <c r="K875" s="70"/>
      <c r="L875" s="70"/>
      <c r="M875" s="70"/>
      <c r="N875" s="70"/>
      <c r="P875" s="71"/>
    </row>
    <row r="876" spans="2:16" x14ac:dyDescent="0.2">
      <c r="B876" s="68"/>
      <c r="C876" s="69"/>
      <c r="D876" s="69"/>
      <c r="E876" s="69"/>
      <c r="F876" s="69"/>
      <c r="G876" s="69"/>
      <c r="I876" s="70"/>
      <c r="J876" s="70"/>
      <c r="K876" s="70"/>
      <c r="L876" s="70"/>
      <c r="M876" s="70"/>
      <c r="N876" s="70"/>
      <c r="P876" s="71"/>
    </row>
    <row r="877" spans="2:16" x14ac:dyDescent="0.2">
      <c r="B877" s="68"/>
      <c r="C877" s="69"/>
      <c r="D877" s="69"/>
      <c r="E877" s="69"/>
      <c r="F877" s="69"/>
      <c r="G877" s="69"/>
      <c r="I877" s="70"/>
      <c r="J877" s="70"/>
      <c r="K877" s="70"/>
      <c r="L877" s="70"/>
      <c r="M877" s="70"/>
      <c r="N877" s="70"/>
      <c r="P877" s="71"/>
    </row>
    <row r="878" spans="2:16" x14ac:dyDescent="0.2">
      <c r="B878" s="68"/>
      <c r="C878" s="69"/>
      <c r="D878" s="69"/>
      <c r="E878" s="69"/>
      <c r="F878" s="69"/>
      <c r="G878" s="69"/>
      <c r="I878" s="70"/>
      <c r="J878" s="70"/>
      <c r="K878" s="70"/>
      <c r="L878" s="70"/>
      <c r="M878" s="70"/>
      <c r="N878" s="70"/>
      <c r="P878" s="71"/>
    </row>
    <row r="879" spans="2:16" x14ac:dyDescent="0.2">
      <c r="B879" s="68"/>
      <c r="C879" s="69"/>
      <c r="D879" s="69"/>
      <c r="E879" s="69"/>
      <c r="F879" s="69"/>
      <c r="G879" s="69"/>
      <c r="I879" s="70"/>
      <c r="J879" s="70"/>
      <c r="K879" s="70"/>
      <c r="L879" s="70"/>
      <c r="M879" s="70"/>
      <c r="N879" s="70"/>
      <c r="P879" s="71"/>
    </row>
    <row r="880" spans="2:16" x14ac:dyDescent="0.2">
      <c r="B880" s="68"/>
      <c r="C880" s="69"/>
      <c r="D880" s="69"/>
      <c r="E880" s="69"/>
      <c r="F880" s="69"/>
      <c r="G880" s="69"/>
      <c r="I880" s="70"/>
      <c r="J880" s="70"/>
      <c r="K880" s="70"/>
      <c r="L880" s="70"/>
      <c r="M880" s="70"/>
      <c r="N880" s="70"/>
      <c r="P880" s="71"/>
    </row>
    <row r="881" spans="2:16" x14ac:dyDescent="0.2">
      <c r="B881" s="68"/>
      <c r="C881" s="69"/>
      <c r="D881" s="69"/>
      <c r="E881" s="69"/>
      <c r="F881" s="69"/>
      <c r="G881" s="69"/>
      <c r="I881" s="70"/>
      <c r="J881" s="70"/>
      <c r="K881" s="70"/>
      <c r="L881" s="70"/>
      <c r="M881" s="70"/>
      <c r="N881" s="70"/>
      <c r="P881" s="71"/>
    </row>
    <row r="882" spans="2:16" x14ac:dyDescent="0.2">
      <c r="B882" s="68"/>
      <c r="C882" s="69"/>
      <c r="D882" s="69"/>
      <c r="E882" s="69"/>
      <c r="F882" s="69"/>
      <c r="G882" s="69"/>
      <c r="I882" s="70"/>
      <c r="J882" s="70"/>
      <c r="K882" s="70"/>
      <c r="L882" s="70"/>
      <c r="M882" s="70"/>
      <c r="N882" s="70"/>
      <c r="P882" s="71"/>
    </row>
    <row r="883" spans="2:16" x14ac:dyDescent="0.2">
      <c r="B883" s="68"/>
      <c r="C883" s="69"/>
      <c r="D883" s="69"/>
      <c r="E883" s="69"/>
      <c r="F883" s="69"/>
      <c r="G883" s="69"/>
      <c r="I883" s="70"/>
      <c r="J883" s="70"/>
      <c r="K883" s="70"/>
      <c r="L883" s="70"/>
      <c r="M883" s="70"/>
      <c r="N883" s="70"/>
      <c r="P883" s="71"/>
    </row>
    <row r="884" spans="2:16" x14ac:dyDescent="0.2">
      <c r="B884" s="68"/>
      <c r="C884" s="69"/>
      <c r="D884" s="69"/>
      <c r="E884" s="69"/>
      <c r="F884" s="69"/>
      <c r="G884" s="69"/>
      <c r="I884" s="70"/>
      <c r="J884" s="70"/>
      <c r="K884" s="70"/>
      <c r="L884" s="70"/>
      <c r="M884" s="70"/>
      <c r="N884" s="70"/>
      <c r="P884" s="71"/>
    </row>
    <row r="885" spans="2:16" x14ac:dyDescent="0.2">
      <c r="B885" s="68"/>
      <c r="C885" s="69"/>
      <c r="D885" s="69"/>
      <c r="E885" s="69"/>
      <c r="F885" s="69"/>
      <c r="G885" s="69"/>
      <c r="I885" s="70"/>
      <c r="J885" s="70"/>
      <c r="K885" s="70"/>
      <c r="L885" s="70"/>
      <c r="M885" s="70"/>
      <c r="N885" s="70"/>
      <c r="P885" s="71"/>
    </row>
    <row r="886" spans="2:16" x14ac:dyDescent="0.2">
      <c r="B886" s="68"/>
      <c r="C886" s="69"/>
      <c r="D886" s="69"/>
      <c r="E886" s="69"/>
      <c r="F886" s="69"/>
      <c r="G886" s="69"/>
      <c r="I886" s="70"/>
      <c r="J886" s="70"/>
      <c r="K886" s="70"/>
      <c r="L886" s="70"/>
      <c r="M886" s="70"/>
      <c r="N886" s="70"/>
      <c r="P886" s="71"/>
    </row>
    <row r="887" spans="2:16" x14ac:dyDescent="0.2">
      <c r="B887" s="68"/>
      <c r="C887" s="69"/>
      <c r="D887" s="69"/>
      <c r="E887" s="69"/>
      <c r="F887" s="69"/>
      <c r="G887" s="69"/>
      <c r="I887" s="70"/>
      <c r="J887" s="70"/>
      <c r="K887" s="70"/>
      <c r="L887" s="70"/>
      <c r="M887" s="70"/>
      <c r="N887" s="70"/>
      <c r="P887" s="71"/>
    </row>
    <row r="888" spans="2:16" x14ac:dyDescent="0.2">
      <c r="B888" s="68"/>
      <c r="C888" s="69"/>
      <c r="D888" s="69"/>
      <c r="E888" s="69"/>
      <c r="F888" s="69"/>
      <c r="G888" s="69"/>
      <c r="I888" s="70"/>
      <c r="J888" s="70"/>
      <c r="K888" s="70"/>
      <c r="L888" s="70"/>
      <c r="M888" s="70"/>
      <c r="N888" s="70"/>
      <c r="P888" s="71"/>
    </row>
    <row r="889" spans="2:16" x14ac:dyDescent="0.2">
      <c r="B889" s="68"/>
      <c r="C889" s="69"/>
      <c r="D889" s="69"/>
      <c r="E889" s="69"/>
      <c r="F889" s="69"/>
      <c r="G889" s="69"/>
      <c r="I889" s="70"/>
      <c r="J889" s="70"/>
      <c r="K889" s="70"/>
      <c r="L889" s="70"/>
      <c r="M889" s="70"/>
      <c r="N889" s="70"/>
      <c r="P889" s="71"/>
    </row>
    <row r="890" spans="2:16" x14ac:dyDescent="0.2">
      <c r="B890" s="68"/>
      <c r="C890" s="69"/>
      <c r="D890" s="69"/>
      <c r="E890" s="69"/>
      <c r="F890" s="69"/>
      <c r="G890" s="69"/>
      <c r="I890" s="70"/>
      <c r="J890" s="70"/>
      <c r="K890" s="70"/>
      <c r="L890" s="70"/>
      <c r="M890" s="70"/>
      <c r="N890" s="70"/>
      <c r="P890" s="71"/>
    </row>
    <row r="891" spans="2:16" x14ac:dyDescent="0.2">
      <c r="B891" s="68"/>
      <c r="C891" s="69"/>
      <c r="D891" s="69"/>
      <c r="E891" s="69"/>
      <c r="F891" s="69"/>
      <c r="G891" s="69"/>
      <c r="I891" s="70"/>
      <c r="J891" s="70"/>
      <c r="K891" s="70"/>
      <c r="L891" s="70"/>
      <c r="M891" s="70"/>
      <c r="N891" s="70"/>
      <c r="P891" s="71"/>
    </row>
    <row r="892" spans="2:16" x14ac:dyDescent="0.2">
      <c r="B892" s="68"/>
      <c r="C892" s="69"/>
      <c r="D892" s="69"/>
      <c r="E892" s="69"/>
      <c r="F892" s="69"/>
      <c r="G892" s="69"/>
      <c r="I892" s="70"/>
      <c r="J892" s="70"/>
      <c r="K892" s="70"/>
      <c r="L892" s="70"/>
      <c r="M892" s="70"/>
      <c r="N892" s="70"/>
      <c r="P892" s="71"/>
    </row>
    <row r="893" spans="2:16" x14ac:dyDescent="0.2">
      <c r="B893" s="68"/>
      <c r="C893" s="69"/>
      <c r="D893" s="69"/>
      <c r="E893" s="69"/>
      <c r="F893" s="69"/>
      <c r="G893" s="69"/>
      <c r="I893" s="70"/>
      <c r="J893" s="70"/>
      <c r="K893" s="70"/>
      <c r="L893" s="70"/>
      <c r="M893" s="70"/>
      <c r="N893" s="70"/>
      <c r="P893" s="71"/>
    </row>
    <row r="894" spans="2:16" x14ac:dyDescent="0.2">
      <c r="B894" s="68"/>
      <c r="C894" s="69"/>
      <c r="D894" s="69"/>
      <c r="E894" s="69"/>
      <c r="F894" s="69"/>
      <c r="G894" s="69"/>
      <c r="I894" s="70"/>
      <c r="J894" s="70"/>
      <c r="K894" s="70"/>
      <c r="L894" s="70"/>
      <c r="M894" s="70"/>
      <c r="N894" s="70"/>
      <c r="P894" s="71"/>
    </row>
    <row r="895" spans="2:16" x14ac:dyDescent="0.2">
      <c r="B895" s="68"/>
      <c r="C895" s="69"/>
      <c r="D895" s="69"/>
      <c r="E895" s="69"/>
      <c r="F895" s="69"/>
      <c r="G895" s="69"/>
      <c r="I895" s="70"/>
      <c r="J895" s="70"/>
      <c r="K895" s="70"/>
      <c r="L895" s="70"/>
      <c r="M895" s="70"/>
      <c r="N895" s="70"/>
      <c r="P895" s="71"/>
    </row>
    <row r="896" spans="2:16" x14ac:dyDescent="0.2">
      <c r="B896" s="68"/>
      <c r="C896" s="69"/>
      <c r="D896" s="69"/>
      <c r="E896" s="69"/>
      <c r="F896" s="69"/>
      <c r="G896" s="69"/>
      <c r="I896" s="70"/>
      <c r="J896" s="70"/>
      <c r="K896" s="70"/>
      <c r="L896" s="70"/>
      <c r="M896" s="70"/>
      <c r="N896" s="70"/>
      <c r="P896" s="71"/>
    </row>
    <row r="897" spans="2:16" x14ac:dyDescent="0.2">
      <c r="B897" s="68"/>
      <c r="C897" s="69"/>
      <c r="D897" s="69"/>
      <c r="E897" s="69"/>
      <c r="F897" s="69"/>
      <c r="G897" s="69"/>
      <c r="I897" s="70"/>
      <c r="J897" s="70"/>
      <c r="K897" s="70"/>
      <c r="L897" s="70"/>
      <c r="M897" s="70"/>
      <c r="N897" s="70"/>
      <c r="P897" s="71"/>
    </row>
    <row r="898" spans="2:16" x14ac:dyDescent="0.2">
      <c r="B898" s="68"/>
      <c r="C898" s="69"/>
      <c r="D898" s="69"/>
      <c r="E898" s="69"/>
      <c r="F898" s="69"/>
      <c r="G898" s="69"/>
      <c r="I898" s="70"/>
      <c r="J898" s="70"/>
      <c r="K898" s="70"/>
      <c r="L898" s="70"/>
      <c r="M898" s="70"/>
      <c r="N898" s="70"/>
      <c r="P898" s="71"/>
    </row>
    <row r="899" spans="2:16" x14ac:dyDescent="0.2">
      <c r="B899" s="68"/>
      <c r="C899" s="69"/>
      <c r="D899" s="69"/>
      <c r="E899" s="69"/>
      <c r="F899" s="69"/>
      <c r="G899" s="69"/>
      <c r="I899" s="70"/>
      <c r="J899" s="70"/>
      <c r="K899" s="70"/>
      <c r="L899" s="70"/>
      <c r="M899" s="70"/>
      <c r="N899" s="70"/>
      <c r="P899" s="71"/>
    </row>
    <row r="900" spans="2:16" x14ac:dyDescent="0.2">
      <c r="B900" s="68"/>
      <c r="C900" s="69"/>
      <c r="D900" s="69"/>
      <c r="E900" s="69"/>
      <c r="F900" s="69"/>
      <c r="G900" s="69"/>
      <c r="I900" s="70"/>
      <c r="J900" s="70"/>
      <c r="K900" s="70"/>
      <c r="L900" s="70"/>
      <c r="M900" s="70"/>
      <c r="N900" s="70"/>
      <c r="P900" s="71"/>
    </row>
    <row r="901" spans="2:16" x14ac:dyDescent="0.2">
      <c r="B901" s="68"/>
      <c r="C901" s="69"/>
      <c r="D901" s="69"/>
      <c r="E901" s="69"/>
      <c r="F901" s="69"/>
      <c r="G901" s="69"/>
      <c r="I901" s="70"/>
      <c r="J901" s="70"/>
      <c r="K901" s="70"/>
      <c r="L901" s="70"/>
      <c r="M901" s="70"/>
      <c r="N901" s="70"/>
      <c r="P901" s="71"/>
    </row>
    <row r="902" spans="2:16" x14ac:dyDescent="0.2">
      <c r="B902" s="68"/>
      <c r="C902" s="69"/>
      <c r="D902" s="69"/>
      <c r="E902" s="69"/>
      <c r="F902" s="69"/>
      <c r="G902" s="69"/>
      <c r="I902" s="70"/>
      <c r="J902" s="70"/>
      <c r="K902" s="70"/>
      <c r="L902" s="70"/>
      <c r="M902" s="70"/>
      <c r="N902" s="70"/>
      <c r="P902" s="71"/>
    </row>
    <row r="903" spans="2:16" x14ac:dyDescent="0.2">
      <c r="B903" s="68"/>
      <c r="C903" s="69"/>
      <c r="D903" s="69"/>
      <c r="E903" s="69"/>
      <c r="F903" s="69"/>
      <c r="G903" s="69"/>
      <c r="I903" s="70"/>
      <c r="J903" s="70"/>
      <c r="K903" s="70"/>
      <c r="L903" s="70"/>
      <c r="M903" s="70"/>
      <c r="N903" s="70"/>
      <c r="P903" s="71"/>
    </row>
    <row r="904" spans="2:16" x14ac:dyDescent="0.2">
      <c r="B904" s="68"/>
      <c r="C904" s="69"/>
      <c r="D904" s="69"/>
      <c r="E904" s="69"/>
      <c r="F904" s="69"/>
      <c r="G904" s="69"/>
      <c r="I904" s="70"/>
      <c r="J904" s="70"/>
      <c r="K904" s="70"/>
      <c r="L904" s="70"/>
      <c r="M904" s="70"/>
      <c r="N904" s="70"/>
      <c r="P904" s="71"/>
    </row>
    <row r="905" spans="2:16" x14ac:dyDescent="0.2">
      <c r="B905" s="68"/>
      <c r="C905" s="69"/>
      <c r="D905" s="69"/>
      <c r="E905" s="69"/>
      <c r="F905" s="69"/>
      <c r="G905" s="69"/>
      <c r="I905" s="70"/>
      <c r="J905" s="70"/>
      <c r="K905" s="70"/>
      <c r="L905" s="70"/>
      <c r="M905" s="70"/>
      <c r="N905" s="70"/>
      <c r="P905" s="71"/>
    </row>
    <row r="906" spans="2:16" x14ac:dyDescent="0.2">
      <c r="B906" s="68"/>
      <c r="C906" s="69"/>
      <c r="D906" s="69"/>
      <c r="E906" s="69"/>
      <c r="F906" s="69"/>
      <c r="G906" s="69"/>
      <c r="I906" s="70"/>
      <c r="J906" s="70"/>
      <c r="K906" s="70"/>
      <c r="L906" s="70"/>
      <c r="M906" s="70"/>
      <c r="N906" s="70"/>
      <c r="P906" s="71"/>
    </row>
    <row r="907" spans="2:16" x14ac:dyDescent="0.2">
      <c r="B907" s="68"/>
      <c r="C907" s="69"/>
      <c r="D907" s="69"/>
      <c r="E907" s="69"/>
      <c r="F907" s="69"/>
      <c r="G907" s="69"/>
      <c r="I907" s="70"/>
      <c r="J907" s="70"/>
      <c r="K907" s="70"/>
      <c r="L907" s="70"/>
      <c r="M907" s="70"/>
      <c r="N907" s="70"/>
      <c r="P907" s="71"/>
    </row>
    <row r="908" spans="2:16" x14ac:dyDescent="0.2">
      <c r="B908" s="68"/>
      <c r="C908" s="69"/>
      <c r="D908" s="69"/>
      <c r="E908" s="69"/>
      <c r="F908" s="69"/>
      <c r="G908" s="69"/>
      <c r="I908" s="70"/>
      <c r="J908" s="70"/>
      <c r="K908" s="70"/>
      <c r="L908" s="70"/>
      <c r="M908" s="70"/>
      <c r="N908" s="70"/>
      <c r="P908" s="71"/>
    </row>
    <row r="909" spans="2:16" x14ac:dyDescent="0.2">
      <c r="B909" s="68"/>
      <c r="C909" s="69"/>
      <c r="D909" s="69"/>
      <c r="E909" s="69"/>
      <c r="F909" s="69"/>
      <c r="G909" s="69"/>
      <c r="I909" s="70"/>
      <c r="J909" s="70"/>
      <c r="K909" s="70"/>
      <c r="L909" s="70"/>
      <c r="M909" s="70"/>
      <c r="N909" s="70"/>
      <c r="P909" s="71"/>
    </row>
    <row r="910" spans="2:16" x14ac:dyDescent="0.2">
      <c r="B910" s="68"/>
      <c r="C910" s="69"/>
      <c r="D910" s="69"/>
      <c r="E910" s="69"/>
      <c r="F910" s="69"/>
      <c r="G910" s="69"/>
      <c r="I910" s="70"/>
      <c r="J910" s="70"/>
      <c r="K910" s="70"/>
      <c r="L910" s="70"/>
      <c r="M910" s="70"/>
      <c r="N910" s="70"/>
      <c r="P910" s="71"/>
    </row>
    <row r="911" spans="2:16" x14ac:dyDescent="0.2">
      <c r="B911" s="68"/>
      <c r="C911" s="69"/>
      <c r="D911" s="69"/>
      <c r="E911" s="69"/>
      <c r="F911" s="69"/>
      <c r="G911" s="69"/>
      <c r="I911" s="70"/>
      <c r="J911" s="70"/>
      <c r="K911" s="70"/>
      <c r="L911" s="70"/>
      <c r="M911" s="70"/>
      <c r="N911" s="70"/>
      <c r="P911" s="71"/>
    </row>
    <row r="912" spans="2:16" x14ac:dyDescent="0.2">
      <c r="B912" s="68"/>
      <c r="C912" s="69"/>
      <c r="D912" s="69"/>
      <c r="E912" s="69"/>
      <c r="F912" s="69"/>
      <c r="G912" s="69"/>
      <c r="I912" s="70"/>
      <c r="J912" s="70"/>
      <c r="K912" s="70"/>
      <c r="L912" s="70"/>
      <c r="M912" s="70"/>
      <c r="N912" s="70"/>
      <c r="P912" s="71"/>
    </row>
    <row r="913" spans="2:16" x14ac:dyDescent="0.2">
      <c r="B913" s="68"/>
      <c r="C913" s="69"/>
      <c r="D913" s="69"/>
      <c r="E913" s="69"/>
      <c r="F913" s="69"/>
      <c r="G913" s="69"/>
      <c r="I913" s="70"/>
      <c r="J913" s="70"/>
      <c r="K913" s="70"/>
      <c r="L913" s="70"/>
      <c r="M913" s="70"/>
      <c r="N913" s="70"/>
      <c r="P913" s="71"/>
    </row>
    <row r="914" spans="2:16" x14ac:dyDescent="0.2">
      <c r="B914" s="68"/>
      <c r="C914" s="69"/>
      <c r="D914" s="69"/>
      <c r="E914" s="69"/>
      <c r="F914" s="69"/>
      <c r="G914" s="69"/>
      <c r="I914" s="70"/>
      <c r="J914" s="70"/>
      <c r="K914" s="70"/>
      <c r="L914" s="70"/>
      <c r="M914" s="70"/>
      <c r="N914" s="70"/>
      <c r="P914" s="71"/>
    </row>
    <row r="915" spans="2:16" x14ac:dyDescent="0.2">
      <c r="B915" s="68"/>
      <c r="C915" s="69"/>
      <c r="D915" s="69"/>
      <c r="E915" s="69"/>
      <c r="F915" s="69"/>
      <c r="G915" s="69"/>
      <c r="I915" s="70"/>
      <c r="J915" s="70"/>
      <c r="K915" s="70"/>
      <c r="L915" s="70"/>
      <c r="M915" s="70"/>
      <c r="N915" s="70"/>
      <c r="P915" s="71"/>
    </row>
    <row r="916" spans="2:16" x14ac:dyDescent="0.2">
      <c r="B916" s="68"/>
      <c r="C916" s="69"/>
      <c r="D916" s="69"/>
      <c r="E916" s="69"/>
      <c r="F916" s="69"/>
      <c r="G916" s="69"/>
      <c r="I916" s="70"/>
      <c r="J916" s="70"/>
      <c r="K916" s="70"/>
      <c r="L916" s="70"/>
      <c r="M916" s="70"/>
      <c r="N916" s="70"/>
      <c r="P916" s="71"/>
    </row>
    <row r="917" spans="2:16" x14ac:dyDescent="0.2">
      <c r="B917" s="68"/>
      <c r="C917" s="69"/>
      <c r="D917" s="69"/>
      <c r="E917" s="69"/>
      <c r="F917" s="69"/>
      <c r="G917" s="69"/>
      <c r="I917" s="70"/>
      <c r="J917" s="70"/>
      <c r="K917" s="70"/>
      <c r="L917" s="70"/>
      <c r="M917" s="70"/>
      <c r="N917" s="70"/>
      <c r="P917" s="71"/>
    </row>
    <row r="918" spans="2:16" x14ac:dyDescent="0.2">
      <c r="B918" s="68"/>
      <c r="C918" s="69"/>
      <c r="D918" s="69"/>
      <c r="E918" s="69"/>
      <c r="F918" s="69"/>
      <c r="G918" s="69"/>
      <c r="I918" s="70"/>
      <c r="J918" s="70"/>
      <c r="K918" s="70"/>
      <c r="L918" s="70"/>
      <c r="M918" s="70"/>
      <c r="N918" s="70"/>
      <c r="P918" s="71"/>
    </row>
    <row r="919" spans="2:16" x14ac:dyDescent="0.2">
      <c r="B919" s="68"/>
      <c r="C919" s="69"/>
      <c r="D919" s="69"/>
      <c r="E919" s="69"/>
      <c r="F919" s="69"/>
      <c r="G919" s="69"/>
      <c r="I919" s="70"/>
      <c r="J919" s="70"/>
      <c r="K919" s="70"/>
      <c r="L919" s="70"/>
      <c r="M919" s="70"/>
      <c r="N919" s="70"/>
      <c r="P919" s="71"/>
    </row>
    <row r="920" spans="2:16" x14ac:dyDescent="0.2">
      <c r="B920" s="68"/>
      <c r="C920" s="69"/>
      <c r="D920" s="69"/>
      <c r="E920" s="69"/>
      <c r="F920" s="69"/>
      <c r="G920" s="69"/>
      <c r="I920" s="70"/>
      <c r="J920" s="70"/>
      <c r="K920" s="70"/>
      <c r="L920" s="70"/>
      <c r="M920" s="70"/>
      <c r="N920" s="70"/>
      <c r="P920" s="71"/>
    </row>
    <row r="921" spans="2:16" x14ac:dyDescent="0.2">
      <c r="B921" s="68"/>
      <c r="C921" s="69"/>
      <c r="D921" s="69"/>
      <c r="E921" s="69"/>
      <c r="F921" s="69"/>
      <c r="G921" s="69"/>
      <c r="I921" s="70"/>
      <c r="J921" s="70"/>
      <c r="K921" s="70"/>
      <c r="L921" s="70"/>
      <c r="M921" s="70"/>
      <c r="N921" s="70"/>
      <c r="P921" s="71"/>
    </row>
    <row r="922" spans="2:16" x14ac:dyDescent="0.2">
      <c r="B922" s="68"/>
      <c r="C922" s="69"/>
      <c r="D922" s="69"/>
      <c r="E922" s="69"/>
      <c r="F922" s="69"/>
      <c r="G922" s="69"/>
      <c r="I922" s="70"/>
      <c r="J922" s="70"/>
      <c r="K922" s="70"/>
      <c r="L922" s="70"/>
      <c r="M922" s="70"/>
      <c r="N922" s="70"/>
      <c r="P922" s="71"/>
    </row>
    <row r="923" spans="2:16" x14ac:dyDescent="0.2">
      <c r="B923" s="68"/>
      <c r="C923" s="69"/>
      <c r="D923" s="69"/>
      <c r="E923" s="69"/>
      <c r="F923" s="69"/>
      <c r="G923" s="69"/>
      <c r="I923" s="70"/>
      <c r="J923" s="70"/>
      <c r="K923" s="70"/>
      <c r="L923" s="70"/>
      <c r="M923" s="70"/>
      <c r="N923" s="70"/>
      <c r="P923" s="71"/>
    </row>
    <row r="924" spans="2:16" x14ac:dyDescent="0.2">
      <c r="B924" s="68"/>
      <c r="C924" s="69"/>
      <c r="D924" s="69"/>
      <c r="E924" s="69"/>
      <c r="F924" s="69"/>
      <c r="G924" s="69"/>
      <c r="I924" s="70"/>
      <c r="J924" s="70"/>
      <c r="K924" s="70"/>
      <c r="L924" s="70"/>
      <c r="M924" s="70"/>
      <c r="N924" s="70"/>
      <c r="P924" s="71"/>
    </row>
    <row r="925" spans="2:16" x14ac:dyDescent="0.2">
      <c r="B925" s="68"/>
      <c r="C925" s="69"/>
      <c r="D925" s="69"/>
      <c r="E925" s="69"/>
      <c r="F925" s="69"/>
      <c r="G925" s="69"/>
      <c r="I925" s="70"/>
      <c r="J925" s="70"/>
      <c r="K925" s="70"/>
      <c r="L925" s="70"/>
      <c r="M925" s="70"/>
      <c r="N925" s="70"/>
      <c r="P925" s="71"/>
    </row>
    <row r="926" spans="2:16" x14ac:dyDescent="0.2">
      <c r="B926" s="68"/>
      <c r="C926" s="69"/>
      <c r="D926" s="69"/>
      <c r="E926" s="69"/>
      <c r="F926" s="69"/>
      <c r="G926" s="69"/>
      <c r="I926" s="70"/>
      <c r="J926" s="70"/>
      <c r="K926" s="70"/>
      <c r="L926" s="70"/>
      <c r="M926" s="70"/>
      <c r="N926" s="70"/>
      <c r="P926" s="71"/>
    </row>
    <row r="927" spans="2:16" x14ac:dyDescent="0.2">
      <c r="B927" s="68"/>
      <c r="C927" s="69"/>
      <c r="D927" s="69"/>
      <c r="E927" s="69"/>
      <c r="F927" s="69"/>
      <c r="G927" s="69"/>
      <c r="I927" s="70"/>
      <c r="J927" s="70"/>
      <c r="K927" s="70"/>
      <c r="L927" s="70"/>
      <c r="M927" s="70"/>
      <c r="N927" s="70"/>
      <c r="P927" s="71"/>
    </row>
    <row r="928" spans="2:16" x14ac:dyDescent="0.2">
      <c r="B928" s="68"/>
      <c r="C928" s="69"/>
      <c r="D928" s="69"/>
      <c r="E928" s="69"/>
      <c r="F928" s="69"/>
      <c r="G928" s="69"/>
      <c r="I928" s="70"/>
      <c r="J928" s="70"/>
      <c r="K928" s="70"/>
      <c r="L928" s="70"/>
      <c r="M928" s="70"/>
      <c r="N928" s="70"/>
      <c r="P928" s="71"/>
    </row>
    <row r="929" spans="2:16" x14ac:dyDescent="0.2">
      <c r="B929" s="68"/>
      <c r="C929" s="69"/>
      <c r="D929" s="69"/>
      <c r="E929" s="69"/>
      <c r="F929" s="69"/>
      <c r="G929" s="69"/>
      <c r="I929" s="70"/>
      <c r="J929" s="70"/>
      <c r="K929" s="70"/>
      <c r="L929" s="70"/>
      <c r="M929" s="70"/>
      <c r="N929" s="70"/>
      <c r="P929" s="71"/>
    </row>
    <row r="930" spans="2:16" x14ac:dyDescent="0.2">
      <c r="B930" s="68"/>
      <c r="C930" s="69"/>
      <c r="D930" s="69"/>
      <c r="E930" s="69"/>
      <c r="F930" s="69"/>
      <c r="G930" s="69"/>
      <c r="I930" s="70"/>
      <c r="J930" s="70"/>
      <c r="K930" s="70"/>
      <c r="L930" s="70"/>
      <c r="M930" s="70"/>
      <c r="N930" s="70"/>
      <c r="P930" s="71"/>
    </row>
    <row r="931" spans="2:16" x14ac:dyDescent="0.2">
      <c r="B931" s="68"/>
      <c r="C931" s="69"/>
      <c r="D931" s="69"/>
      <c r="E931" s="69"/>
      <c r="F931" s="69"/>
      <c r="G931" s="69"/>
      <c r="I931" s="70"/>
      <c r="J931" s="70"/>
      <c r="K931" s="70"/>
      <c r="L931" s="70"/>
      <c r="M931" s="70"/>
      <c r="N931" s="70"/>
      <c r="P931" s="71"/>
    </row>
    <row r="932" spans="2:16" x14ac:dyDescent="0.2">
      <c r="B932" s="68"/>
      <c r="C932" s="69"/>
      <c r="D932" s="69"/>
      <c r="E932" s="69"/>
      <c r="F932" s="69"/>
      <c r="G932" s="69"/>
      <c r="I932" s="70"/>
      <c r="J932" s="70"/>
      <c r="K932" s="70"/>
      <c r="L932" s="70"/>
      <c r="M932" s="70"/>
      <c r="N932" s="70"/>
      <c r="P932" s="71"/>
    </row>
    <row r="933" spans="2:16" x14ac:dyDescent="0.2">
      <c r="B933" s="68"/>
      <c r="C933" s="69"/>
      <c r="D933" s="69"/>
      <c r="E933" s="69"/>
      <c r="F933" s="69"/>
      <c r="G933" s="69"/>
      <c r="I933" s="70"/>
      <c r="J933" s="70"/>
      <c r="K933" s="70"/>
      <c r="L933" s="70"/>
      <c r="M933" s="70"/>
      <c r="N933" s="70"/>
      <c r="P933" s="71"/>
    </row>
    <row r="934" spans="2:16" x14ac:dyDescent="0.2">
      <c r="B934" s="68"/>
      <c r="C934" s="69"/>
      <c r="D934" s="69"/>
      <c r="E934" s="69"/>
      <c r="F934" s="69"/>
      <c r="G934" s="69"/>
      <c r="I934" s="70"/>
      <c r="J934" s="70"/>
      <c r="K934" s="70"/>
      <c r="L934" s="70"/>
      <c r="M934" s="70"/>
      <c r="N934" s="70"/>
      <c r="P934" s="71"/>
    </row>
    <row r="935" spans="2:16" x14ac:dyDescent="0.2">
      <c r="B935" s="68"/>
      <c r="C935" s="69"/>
      <c r="D935" s="69"/>
      <c r="E935" s="69"/>
      <c r="F935" s="69"/>
      <c r="G935" s="69"/>
      <c r="I935" s="70"/>
      <c r="J935" s="70"/>
      <c r="K935" s="70"/>
      <c r="L935" s="70"/>
      <c r="M935" s="70"/>
      <c r="N935" s="70"/>
      <c r="P935" s="71"/>
    </row>
    <row r="936" spans="2:16" x14ac:dyDescent="0.2">
      <c r="B936" s="68"/>
      <c r="C936" s="69"/>
      <c r="D936" s="69"/>
      <c r="E936" s="69"/>
      <c r="F936" s="69"/>
      <c r="G936" s="69"/>
      <c r="I936" s="70"/>
      <c r="J936" s="70"/>
      <c r="K936" s="70"/>
      <c r="L936" s="70"/>
      <c r="M936" s="70"/>
      <c r="N936" s="70"/>
      <c r="P936" s="71"/>
    </row>
    <row r="937" spans="2:16" x14ac:dyDescent="0.2">
      <c r="B937" s="68"/>
      <c r="C937" s="69"/>
      <c r="D937" s="69"/>
      <c r="E937" s="69"/>
      <c r="F937" s="69"/>
      <c r="G937" s="69"/>
      <c r="I937" s="70"/>
      <c r="J937" s="70"/>
      <c r="K937" s="70"/>
      <c r="L937" s="70"/>
      <c r="M937" s="70"/>
      <c r="N937" s="70"/>
      <c r="P937" s="71"/>
    </row>
    <row r="938" spans="2:16" x14ac:dyDescent="0.2">
      <c r="B938" s="68"/>
      <c r="C938" s="69"/>
      <c r="D938" s="69"/>
      <c r="E938" s="69"/>
      <c r="F938" s="69"/>
      <c r="G938" s="69"/>
      <c r="I938" s="70"/>
      <c r="J938" s="70"/>
      <c r="K938" s="70"/>
      <c r="L938" s="70"/>
      <c r="M938" s="70"/>
      <c r="N938" s="70"/>
      <c r="P938" s="71"/>
    </row>
    <row r="939" spans="2:16" x14ac:dyDescent="0.2">
      <c r="B939" s="68"/>
      <c r="C939" s="69"/>
      <c r="D939" s="69"/>
      <c r="E939" s="69"/>
      <c r="F939" s="69"/>
      <c r="G939" s="69"/>
      <c r="I939" s="70"/>
      <c r="J939" s="70"/>
      <c r="K939" s="70"/>
      <c r="L939" s="70"/>
      <c r="M939" s="70"/>
      <c r="N939" s="70"/>
      <c r="P939" s="71"/>
    </row>
    <row r="940" spans="2:16" x14ac:dyDescent="0.2">
      <c r="B940" s="68"/>
      <c r="C940" s="69"/>
      <c r="D940" s="69"/>
      <c r="E940" s="69"/>
      <c r="F940" s="69"/>
      <c r="G940" s="69"/>
      <c r="I940" s="70"/>
      <c r="J940" s="70"/>
      <c r="K940" s="70"/>
      <c r="L940" s="70"/>
      <c r="M940" s="70"/>
      <c r="N940" s="70"/>
      <c r="P940" s="71"/>
    </row>
    <row r="941" spans="2:16" x14ac:dyDescent="0.2">
      <c r="B941" s="68"/>
      <c r="C941" s="69"/>
      <c r="D941" s="69"/>
      <c r="E941" s="69"/>
      <c r="F941" s="69"/>
      <c r="G941" s="69"/>
      <c r="I941" s="70"/>
      <c r="J941" s="70"/>
      <c r="K941" s="70"/>
      <c r="L941" s="70"/>
      <c r="M941" s="70"/>
      <c r="N941" s="70"/>
      <c r="P941" s="71"/>
    </row>
    <row r="942" spans="2:16" x14ac:dyDescent="0.2">
      <c r="B942" s="68"/>
      <c r="C942" s="69"/>
      <c r="D942" s="69"/>
      <c r="E942" s="69"/>
      <c r="F942" s="69"/>
      <c r="G942" s="69"/>
      <c r="I942" s="70"/>
      <c r="J942" s="70"/>
      <c r="K942" s="70"/>
      <c r="L942" s="70"/>
      <c r="M942" s="70"/>
      <c r="N942" s="70"/>
      <c r="P942" s="71"/>
    </row>
    <row r="943" spans="2:16" x14ac:dyDescent="0.2">
      <c r="B943" s="68"/>
      <c r="C943" s="69"/>
      <c r="D943" s="69"/>
      <c r="E943" s="69"/>
      <c r="F943" s="69"/>
      <c r="G943" s="69"/>
      <c r="I943" s="70"/>
      <c r="J943" s="70"/>
      <c r="K943" s="70"/>
      <c r="L943" s="70"/>
      <c r="M943" s="70"/>
      <c r="N943" s="70"/>
      <c r="P943" s="71"/>
    </row>
    <row r="944" spans="2:16" x14ac:dyDescent="0.2">
      <c r="B944" s="68"/>
      <c r="C944" s="69"/>
      <c r="D944" s="69"/>
      <c r="E944" s="69"/>
      <c r="F944" s="69"/>
      <c r="G944" s="69"/>
      <c r="I944" s="70"/>
      <c r="J944" s="70"/>
      <c r="K944" s="70"/>
      <c r="L944" s="70"/>
      <c r="M944" s="70"/>
      <c r="N944" s="70"/>
      <c r="P944" s="71"/>
    </row>
    <row r="945" spans="2:16" x14ac:dyDescent="0.2">
      <c r="B945" s="68"/>
      <c r="C945" s="69"/>
      <c r="D945" s="69"/>
      <c r="E945" s="69"/>
      <c r="F945" s="69"/>
      <c r="G945" s="69"/>
      <c r="I945" s="70"/>
      <c r="J945" s="70"/>
      <c r="K945" s="70"/>
      <c r="L945" s="70"/>
      <c r="M945" s="70"/>
      <c r="N945" s="70"/>
      <c r="P945" s="71"/>
    </row>
    <row r="946" spans="2:16" x14ac:dyDescent="0.2">
      <c r="B946" s="68"/>
      <c r="C946" s="69"/>
      <c r="D946" s="69"/>
      <c r="E946" s="69"/>
      <c r="F946" s="69"/>
      <c r="G946" s="69"/>
      <c r="I946" s="70"/>
      <c r="J946" s="70"/>
      <c r="K946" s="70"/>
      <c r="L946" s="70"/>
      <c r="M946" s="70"/>
      <c r="N946" s="70"/>
      <c r="P946" s="71"/>
    </row>
    <row r="947" spans="2:16" x14ac:dyDescent="0.2">
      <c r="B947" s="68"/>
      <c r="C947" s="69"/>
      <c r="D947" s="69"/>
      <c r="E947" s="69"/>
      <c r="F947" s="69"/>
      <c r="G947" s="69"/>
      <c r="I947" s="70"/>
      <c r="J947" s="70"/>
      <c r="K947" s="70"/>
      <c r="L947" s="70"/>
      <c r="M947" s="70"/>
      <c r="N947" s="70"/>
      <c r="P947" s="71"/>
    </row>
    <row r="948" spans="2:16" x14ac:dyDescent="0.2">
      <c r="B948" s="68"/>
      <c r="C948" s="69"/>
      <c r="D948" s="69"/>
      <c r="E948" s="69"/>
      <c r="F948" s="69"/>
      <c r="G948" s="69"/>
      <c r="I948" s="70"/>
      <c r="J948" s="70"/>
      <c r="K948" s="70"/>
      <c r="L948" s="70"/>
      <c r="M948" s="70"/>
      <c r="N948" s="70"/>
      <c r="P948" s="71"/>
    </row>
    <row r="949" spans="2:16" x14ac:dyDescent="0.2">
      <c r="B949" s="68"/>
      <c r="C949" s="69"/>
      <c r="D949" s="69"/>
      <c r="E949" s="69"/>
      <c r="F949" s="69"/>
      <c r="G949" s="69"/>
      <c r="I949" s="70"/>
      <c r="J949" s="70"/>
      <c r="K949" s="70"/>
      <c r="L949" s="70"/>
      <c r="M949" s="70"/>
      <c r="N949" s="70"/>
      <c r="P949" s="71"/>
    </row>
    <row r="950" spans="2:16" x14ac:dyDescent="0.2">
      <c r="B950" s="68"/>
      <c r="C950" s="69"/>
      <c r="D950" s="69"/>
      <c r="E950" s="69"/>
      <c r="F950" s="69"/>
      <c r="G950" s="69"/>
      <c r="I950" s="70"/>
      <c r="J950" s="70"/>
      <c r="K950" s="70"/>
      <c r="L950" s="70"/>
      <c r="M950" s="70"/>
      <c r="N950" s="70"/>
      <c r="P950" s="71"/>
    </row>
    <row r="951" spans="2:16" x14ac:dyDescent="0.2">
      <c r="B951" s="68"/>
      <c r="C951" s="69"/>
      <c r="D951" s="69"/>
      <c r="E951" s="69"/>
      <c r="F951" s="69"/>
      <c r="G951" s="69"/>
      <c r="I951" s="70"/>
      <c r="J951" s="70"/>
      <c r="K951" s="70"/>
      <c r="L951" s="70"/>
      <c r="M951" s="70"/>
      <c r="N951" s="70"/>
      <c r="P951" s="71"/>
    </row>
    <row r="952" spans="2:16" x14ac:dyDescent="0.2">
      <c r="B952" s="68"/>
      <c r="C952" s="69"/>
      <c r="D952" s="69"/>
      <c r="E952" s="69"/>
      <c r="F952" s="69"/>
      <c r="G952" s="69"/>
      <c r="I952" s="70"/>
      <c r="J952" s="70"/>
      <c r="K952" s="70"/>
      <c r="L952" s="70"/>
      <c r="M952" s="70"/>
      <c r="N952" s="70"/>
      <c r="P952" s="71"/>
    </row>
    <row r="953" spans="2:16" x14ac:dyDescent="0.2">
      <c r="B953" s="68"/>
      <c r="C953" s="69"/>
      <c r="D953" s="69"/>
      <c r="E953" s="69"/>
      <c r="F953" s="69"/>
      <c r="G953" s="69"/>
      <c r="I953" s="70"/>
      <c r="J953" s="70"/>
      <c r="K953" s="70"/>
      <c r="L953" s="70"/>
      <c r="M953" s="70"/>
      <c r="N953" s="70"/>
      <c r="P953" s="71"/>
    </row>
    <row r="954" spans="2:16" x14ac:dyDescent="0.2">
      <c r="B954" s="68"/>
      <c r="C954" s="69"/>
      <c r="D954" s="69"/>
      <c r="E954" s="69"/>
      <c r="F954" s="69"/>
      <c r="G954" s="69"/>
      <c r="I954" s="70"/>
      <c r="J954" s="70"/>
      <c r="K954" s="70"/>
      <c r="L954" s="70"/>
      <c r="M954" s="70"/>
      <c r="N954" s="70"/>
      <c r="P954" s="71"/>
    </row>
    <row r="955" spans="2:16" x14ac:dyDescent="0.2">
      <c r="B955" s="68"/>
      <c r="C955" s="69"/>
      <c r="D955" s="69"/>
      <c r="E955" s="69"/>
      <c r="F955" s="69"/>
      <c r="G955" s="69"/>
      <c r="I955" s="70"/>
      <c r="J955" s="70"/>
      <c r="K955" s="70"/>
      <c r="L955" s="70"/>
      <c r="M955" s="70"/>
      <c r="N955" s="70"/>
      <c r="P955" s="71"/>
    </row>
    <row r="956" spans="2:16" x14ac:dyDescent="0.2">
      <c r="B956" s="68"/>
      <c r="C956" s="69"/>
      <c r="D956" s="69"/>
      <c r="E956" s="69"/>
      <c r="F956" s="69"/>
      <c r="G956" s="69"/>
      <c r="I956" s="70"/>
      <c r="J956" s="70"/>
      <c r="K956" s="70"/>
      <c r="L956" s="70"/>
      <c r="M956" s="70"/>
      <c r="N956" s="70"/>
      <c r="P956" s="71"/>
    </row>
    <row r="957" spans="2:16" x14ac:dyDescent="0.2">
      <c r="B957" s="68"/>
      <c r="C957" s="69"/>
      <c r="D957" s="69"/>
      <c r="E957" s="69"/>
      <c r="F957" s="69"/>
      <c r="G957" s="69"/>
      <c r="I957" s="70"/>
      <c r="J957" s="70"/>
      <c r="K957" s="70"/>
      <c r="L957" s="70"/>
      <c r="M957" s="70"/>
      <c r="N957" s="70"/>
      <c r="P957" s="71"/>
    </row>
    <row r="958" spans="2:16" x14ac:dyDescent="0.2">
      <c r="B958" s="68"/>
      <c r="C958" s="69"/>
      <c r="D958" s="69"/>
      <c r="E958" s="69"/>
      <c r="F958" s="69"/>
      <c r="G958" s="69"/>
      <c r="I958" s="70"/>
      <c r="J958" s="70"/>
      <c r="K958" s="70"/>
      <c r="L958" s="70"/>
      <c r="M958" s="70"/>
      <c r="N958" s="70"/>
      <c r="P958" s="71"/>
    </row>
    <row r="959" spans="2:16" x14ac:dyDescent="0.2">
      <c r="B959" s="68"/>
      <c r="C959" s="69"/>
      <c r="D959" s="69"/>
      <c r="E959" s="69"/>
      <c r="F959" s="69"/>
      <c r="G959" s="69"/>
      <c r="I959" s="70"/>
      <c r="J959" s="70"/>
      <c r="K959" s="70"/>
      <c r="L959" s="70"/>
      <c r="M959" s="70"/>
      <c r="N959" s="70"/>
      <c r="P959" s="71"/>
    </row>
    <row r="960" spans="2:16" x14ac:dyDescent="0.2">
      <c r="B960" s="68"/>
      <c r="C960" s="69"/>
      <c r="D960" s="69"/>
      <c r="E960" s="69"/>
      <c r="F960" s="69"/>
      <c r="G960" s="69"/>
      <c r="I960" s="70"/>
      <c r="J960" s="70"/>
      <c r="K960" s="70"/>
      <c r="L960" s="70"/>
      <c r="M960" s="70"/>
      <c r="N960" s="70"/>
      <c r="P960" s="71"/>
    </row>
    <row r="961" spans="2:16" x14ac:dyDescent="0.2">
      <c r="B961" s="68"/>
      <c r="C961" s="69"/>
      <c r="D961" s="69"/>
      <c r="E961" s="69"/>
      <c r="F961" s="69"/>
      <c r="G961" s="69"/>
      <c r="I961" s="70"/>
      <c r="J961" s="70"/>
      <c r="K961" s="70"/>
      <c r="L961" s="70"/>
      <c r="M961" s="70"/>
      <c r="N961" s="70"/>
      <c r="P961" s="71"/>
    </row>
    <row r="962" spans="2:16" x14ac:dyDescent="0.2">
      <c r="B962" s="68"/>
      <c r="C962" s="69"/>
      <c r="D962" s="69"/>
      <c r="E962" s="69"/>
      <c r="F962" s="69"/>
      <c r="G962" s="69"/>
      <c r="I962" s="70"/>
      <c r="J962" s="70"/>
      <c r="K962" s="70"/>
      <c r="L962" s="70"/>
      <c r="M962" s="70"/>
      <c r="N962" s="70"/>
      <c r="P962" s="71"/>
    </row>
    <row r="963" spans="2:16" x14ac:dyDescent="0.2">
      <c r="B963" s="68"/>
      <c r="C963" s="69"/>
      <c r="D963" s="69"/>
      <c r="E963" s="69"/>
      <c r="F963" s="69"/>
      <c r="G963" s="69"/>
      <c r="I963" s="70"/>
      <c r="J963" s="70"/>
      <c r="K963" s="70"/>
      <c r="L963" s="70"/>
      <c r="M963" s="70"/>
      <c r="N963" s="70"/>
      <c r="P963" s="71"/>
    </row>
    <row r="964" spans="2:16" x14ac:dyDescent="0.2">
      <c r="B964" s="68"/>
      <c r="C964" s="69"/>
      <c r="D964" s="69"/>
      <c r="E964" s="69"/>
      <c r="F964" s="69"/>
      <c r="G964" s="69"/>
      <c r="I964" s="70"/>
      <c r="J964" s="70"/>
      <c r="K964" s="70"/>
      <c r="L964" s="70"/>
      <c r="M964" s="70"/>
      <c r="N964" s="70"/>
      <c r="P964" s="71"/>
    </row>
    <row r="965" spans="2:16" x14ac:dyDescent="0.2">
      <c r="B965" s="68"/>
      <c r="C965" s="69"/>
      <c r="D965" s="69"/>
      <c r="E965" s="69"/>
      <c r="F965" s="69"/>
      <c r="G965" s="69"/>
      <c r="I965" s="70"/>
      <c r="J965" s="70"/>
      <c r="K965" s="70"/>
      <c r="L965" s="70"/>
      <c r="M965" s="70"/>
      <c r="N965" s="70"/>
      <c r="P965" s="71"/>
    </row>
    <row r="966" spans="2:16" x14ac:dyDescent="0.2">
      <c r="B966" s="68"/>
      <c r="C966" s="69"/>
      <c r="D966" s="69"/>
      <c r="E966" s="69"/>
      <c r="F966" s="69"/>
      <c r="G966" s="69"/>
      <c r="I966" s="70"/>
      <c r="J966" s="70"/>
      <c r="K966" s="70"/>
      <c r="L966" s="70"/>
      <c r="M966" s="70"/>
      <c r="N966" s="70"/>
      <c r="P966" s="71"/>
    </row>
    <row r="967" spans="2:16" x14ac:dyDescent="0.2">
      <c r="B967" s="68"/>
      <c r="C967" s="69"/>
      <c r="D967" s="69"/>
      <c r="E967" s="69"/>
      <c r="F967" s="69"/>
      <c r="G967" s="69"/>
      <c r="I967" s="70"/>
      <c r="J967" s="70"/>
      <c r="K967" s="70"/>
      <c r="L967" s="70"/>
      <c r="M967" s="70"/>
      <c r="N967" s="70"/>
      <c r="P967" s="71"/>
    </row>
    <row r="968" spans="2:16" x14ac:dyDescent="0.2">
      <c r="B968" s="68"/>
      <c r="C968" s="69"/>
      <c r="D968" s="69"/>
      <c r="E968" s="69"/>
      <c r="F968" s="69"/>
      <c r="G968" s="69"/>
      <c r="I968" s="70"/>
      <c r="J968" s="70"/>
      <c r="K968" s="70"/>
      <c r="L968" s="70"/>
      <c r="M968" s="70"/>
      <c r="N968" s="70"/>
      <c r="P968" s="71"/>
    </row>
    <row r="969" spans="2:16" x14ac:dyDescent="0.2">
      <c r="B969" s="68"/>
      <c r="C969" s="69"/>
      <c r="D969" s="69"/>
      <c r="E969" s="69"/>
      <c r="F969" s="69"/>
      <c r="G969" s="69"/>
      <c r="I969" s="70"/>
      <c r="J969" s="70"/>
      <c r="K969" s="70"/>
      <c r="L969" s="70"/>
      <c r="M969" s="70"/>
      <c r="N969" s="70"/>
      <c r="P969" s="71"/>
    </row>
    <row r="970" spans="2:16" x14ac:dyDescent="0.2">
      <c r="B970" s="68"/>
      <c r="C970" s="69"/>
      <c r="D970" s="69"/>
      <c r="E970" s="69"/>
      <c r="F970" s="69"/>
      <c r="G970" s="69"/>
      <c r="I970" s="70"/>
      <c r="J970" s="70"/>
      <c r="K970" s="70"/>
      <c r="L970" s="70"/>
      <c r="M970" s="70"/>
      <c r="N970" s="70"/>
      <c r="P970" s="71"/>
    </row>
    <row r="971" spans="2:16" x14ac:dyDescent="0.2">
      <c r="B971" s="68"/>
      <c r="C971" s="69"/>
      <c r="D971" s="69"/>
      <c r="E971" s="69"/>
      <c r="F971" s="69"/>
      <c r="G971" s="69"/>
      <c r="I971" s="70"/>
      <c r="J971" s="70"/>
      <c r="K971" s="70"/>
      <c r="L971" s="70"/>
      <c r="M971" s="70"/>
      <c r="N971" s="70"/>
      <c r="P971" s="71"/>
    </row>
    <row r="972" spans="2:16" x14ac:dyDescent="0.2">
      <c r="B972" s="68"/>
      <c r="C972" s="69"/>
      <c r="D972" s="69"/>
      <c r="E972" s="69"/>
      <c r="F972" s="69"/>
      <c r="G972" s="69"/>
      <c r="I972" s="70"/>
      <c r="J972" s="70"/>
      <c r="K972" s="70"/>
      <c r="L972" s="70"/>
      <c r="M972" s="70"/>
      <c r="N972" s="70"/>
      <c r="P972" s="71"/>
    </row>
    <row r="973" spans="2:16" x14ac:dyDescent="0.2">
      <c r="B973" s="68"/>
      <c r="C973" s="69"/>
      <c r="D973" s="69"/>
      <c r="E973" s="69"/>
      <c r="F973" s="69"/>
      <c r="G973" s="69"/>
      <c r="I973" s="70"/>
      <c r="J973" s="70"/>
      <c r="K973" s="70"/>
      <c r="L973" s="70"/>
      <c r="M973" s="70"/>
      <c r="N973" s="70"/>
      <c r="P973" s="71"/>
    </row>
    <row r="974" spans="2:16" x14ac:dyDescent="0.2">
      <c r="B974" s="68"/>
      <c r="C974" s="69"/>
      <c r="D974" s="69"/>
      <c r="E974" s="69"/>
      <c r="F974" s="69"/>
      <c r="G974" s="69"/>
      <c r="I974" s="70"/>
      <c r="J974" s="70"/>
      <c r="K974" s="70"/>
      <c r="L974" s="70"/>
      <c r="M974" s="70"/>
      <c r="N974" s="70"/>
      <c r="P974" s="71"/>
    </row>
    <row r="975" spans="2:16" x14ac:dyDescent="0.2">
      <c r="B975" s="68"/>
      <c r="C975" s="69"/>
      <c r="D975" s="69"/>
      <c r="E975" s="69"/>
      <c r="F975" s="69"/>
      <c r="G975" s="69"/>
      <c r="I975" s="70"/>
      <c r="J975" s="70"/>
      <c r="K975" s="70"/>
      <c r="L975" s="70"/>
      <c r="M975" s="70"/>
      <c r="N975" s="70"/>
      <c r="P975" s="71"/>
    </row>
    <row r="976" spans="2:16" x14ac:dyDescent="0.2">
      <c r="B976" s="68"/>
      <c r="C976" s="69"/>
      <c r="D976" s="69"/>
      <c r="E976" s="69"/>
      <c r="F976" s="69"/>
      <c r="G976" s="69"/>
      <c r="I976" s="70"/>
      <c r="J976" s="70"/>
      <c r="K976" s="70"/>
      <c r="L976" s="70"/>
      <c r="M976" s="70"/>
      <c r="N976" s="70"/>
      <c r="P976" s="71"/>
    </row>
    <row r="977" spans="2:16" x14ac:dyDescent="0.2">
      <c r="B977" s="68"/>
      <c r="C977" s="69"/>
      <c r="D977" s="69"/>
      <c r="E977" s="69"/>
      <c r="F977" s="69"/>
      <c r="G977" s="69"/>
      <c r="I977" s="70"/>
      <c r="J977" s="70"/>
      <c r="K977" s="70"/>
      <c r="L977" s="70"/>
      <c r="M977" s="70"/>
      <c r="N977" s="70"/>
      <c r="P977" s="71"/>
    </row>
    <row r="978" spans="2:16" x14ac:dyDescent="0.2">
      <c r="B978" s="68"/>
      <c r="C978" s="69"/>
      <c r="D978" s="69"/>
      <c r="E978" s="69"/>
      <c r="F978" s="69"/>
      <c r="G978" s="69"/>
      <c r="I978" s="70"/>
      <c r="J978" s="70"/>
      <c r="K978" s="70"/>
      <c r="L978" s="70"/>
      <c r="M978" s="70"/>
      <c r="N978" s="70"/>
      <c r="P978" s="71"/>
    </row>
    <row r="979" spans="2:16" x14ac:dyDescent="0.2">
      <c r="B979" s="68"/>
      <c r="C979" s="69"/>
      <c r="D979" s="69"/>
      <c r="E979" s="69"/>
      <c r="F979" s="69"/>
      <c r="G979" s="69"/>
      <c r="I979" s="70"/>
      <c r="J979" s="70"/>
      <c r="K979" s="70"/>
      <c r="L979" s="70"/>
      <c r="M979" s="70"/>
      <c r="N979" s="70"/>
      <c r="P979" s="71"/>
    </row>
    <row r="980" spans="2:16" x14ac:dyDescent="0.2">
      <c r="B980" s="68"/>
      <c r="C980" s="69"/>
      <c r="D980" s="69"/>
      <c r="E980" s="69"/>
      <c r="F980" s="69"/>
      <c r="G980" s="69"/>
      <c r="I980" s="70"/>
      <c r="J980" s="70"/>
      <c r="K980" s="70"/>
      <c r="L980" s="70"/>
      <c r="M980" s="70"/>
      <c r="N980" s="70"/>
      <c r="P980" s="71"/>
    </row>
    <row r="981" spans="2:16" x14ac:dyDescent="0.2">
      <c r="B981" s="68"/>
      <c r="C981" s="69"/>
      <c r="D981" s="69"/>
      <c r="E981" s="69"/>
      <c r="F981" s="69"/>
      <c r="G981" s="69"/>
      <c r="I981" s="70"/>
      <c r="J981" s="70"/>
      <c r="K981" s="70"/>
      <c r="L981" s="70"/>
      <c r="M981" s="70"/>
      <c r="N981" s="70"/>
      <c r="P981" s="71"/>
    </row>
    <row r="982" spans="2:16" x14ac:dyDescent="0.2">
      <c r="B982" s="68"/>
      <c r="C982" s="69"/>
      <c r="D982" s="69"/>
      <c r="E982" s="69"/>
      <c r="F982" s="69"/>
      <c r="G982" s="69"/>
      <c r="I982" s="70"/>
      <c r="J982" s="70"/>
      <c r="K982" s="70"/>
      <c r="L982" s="70"/>
      <c r="M982" s="70"/>
      <c r="N982" s="70"/>
      <c r="P982" s="71"/>
    </row>
    <row r="983" spans="2:16" x14ac:dyDescent="0.2">
      <c r="B983" s="68"/>
      <c r="C983" s="69"/>
      <c r="D983" s="69"/>
      <c r="E983" s="69"/>
      <c r="F983" s="69"/>
      <c r="G983" s="69"/>
      <c r="I983" s="70"/>
      <c r="J983" s="70"/>
      <c r="K983" s="70"/>
      <c r="L983" s="70"/>
      <c r="M983" s="70"/>
      <c r="N983" s="70"/>
      <c r="P983" s="71"/>
    </row>
    <row r="984" spans="2:16" x14ac:dyDescent="0.2">
      <c r="B984" s="68"/>
      <c r="C984" s="69"/>
      <c r="D984" s="69"/>
      <c r="E984" s="69"/>
      <c r="F984" s="69"/>
      <c r="G984" s="69"/>
      <c r="I984" s="70"/>
      <c r="J984" s="70"/>
      <c r="K984" s="70"/>
      <c r="L984" s="70"/>
      <c r="M984" s="70"/>
      <c r="N984" s="70"/>
      <c r="P984" s="71"/>
    </row>
    <row r="985" spans="2:16" x14ac:dyDescent="0.2">
      <c r="B985" s="68"/>
      <c r="C985" s="69"/>
      <c r="D985" s="69"/>
      <c r="E985" s="69"/>
      <c r="F985" s="69"/>
      <c r="G985" s="69"/>
      <c r="I985" s="70"/>
      <c r="J985" s="70"/>
      <c r="K985" s="70"/>
      <c r="L985" s="70"/>
      <c r="M985" s="70"/>
      <c r="N985" s="70"/>
      <c r="P985" s="71"/>
    </row>
    <row r="986" spans="2:16" x14ac:dyDescent="0.2">
      <c r="B986" s="68"/>
      <c r="C986" s="69"/>
      <c r="D986" s="69"/>
      <c r="E986" s="69"/>
      <c r="F986" s="69"/>
      <c r="G986" s="69"/>
      <c r="I986" s="70"/>
      <c r="J986" s="70"/>
      <c r="K986" s="70"/>
      <c r="L986" s="70"/>
      <c r="M986" s="70"/>
      <c r="N986" s="70"/>
      <c r="P986" s="71"/>
    </row>
    <row r="987" spans="2:16" x14ac:dyDescent="0.2">
      <c r="B987" s="68"/>
      <c r="C987" s="69"/>
      <c r="D987" s="69"/>
      <c r="E987" s="69"/>
      <c r="F987" s="69"/>
      <c r="G987" s="69"/>
      <c r="I987" s="70"/>
      <c r="J987" s="70"/>
      <c r="K987" s="70"/>
      <c r="L987" s="70"/>
      <c r="M987" s="70"/>
      <c r="N987" s="70"/>
      <c r="P987" s="71"/>
    </row>
    <row r="988" spans="2:16" x14ac:dyDescent="0.2">
      <c r="B988" s="68"/>
      <c r="C988" s="69"/>
      <c r="D988" s="69"/>
      <c r="E988" s="69"/>
      <c r="F988" s="69"/>
      <c r="G988" s="69"/>
      <c r="I988" s="70"/>
      <c r="J988" s="70"/>
      <c r="K988" s="70"/>
      <c r="L988" s="70"/>
      <c r="M988" s="70"/>
      <c r="N988" s="70"/>
      <c r="P988" s="71"/>
    </row>
    <row r="989" spans="2:16" x14ac:dyDescent="0.2">
      <c r="B989" s="68"/>
      <c r="C989" s="69"/>
      <c r="D989" s="69"/>
      <c r="E989" s="69"/>
      <c r="F989" s="69"/>
      <c r="G989" s="69"/>
      <c r="I989" s="70"/>
      <c r="J989" s="70"/>
      <c r="K989" s="70"/>
      <c r="L989" s="70"/>
      <c r="M989" s="70"/>
      <c r="N989" s="70"/>
      <c r="P989" s="71"/>
    </row>
    <row r="990" spans="2:16" x14ac:dyDescent="0.2">
      <c r="B990" s="68"/>
      <c r="C990" s="69"/>
      <c r="D990" s="69"/>
      <c r="E990" s="69"/>
      <c r="F990" s="69"/>
      <c r="G990" s="69"/>
      <c r="I990" s="70"/>
      <c r="J990" s="70"/>
      <c r="K990" s="70"/>
      <c r="L990" s="70"/>
      <c r="M990" s="70"/>
      <c r="N990" s="70"/>
      <c r="P990" s="71"/>
    </row>
    <row r="991" spans="2:16" x14ac:dyDescent="0.2">
      <c r="B991" s="68"/>
      <c r="C991" s="69"/>
      <c r="D991" s="69"/>
      <c r="E991" s="69"/>
      <c r="F991" s="69"/>
      <c r="G991" s="69"/>
      <c r="I991" s="70"/>
      <c r="J991" s="70"/>
      <c r="K991" s="70"/>
      <c r="L991" s="70"/>
      <c r="M991" s="70"/>
      <c r="N991" s="70"/>
      <c r="P991" s="71"/>
    </row>
    <row r="992" spans="2:16" x14ac:dyDescent="0.2">
      <c r="B992" s="68"/>
      <c r="C992" s="69"/>
      <c r="D992" s="69"/>
      <c r="E992" s="69"/>
      <c r="F992" s="69"/>
      <c r="G992" s="69"/>
      <c r="I992" s="70"/>
      <c r="J992" s="70"/>
      <c r="K992" s="70"/>
      <c r="L992" s="70"/>
      <c r="M992" s="70"/>
      <c r="N992" s="70"/>
      <c r="P992" s="71"/>
    </row>
    <row r="993" spans="2:16" x14ac:dyDescent="0.2">
      <c r="B993" s="68"/>
      <c r="C993" s="69"/>
      <c r="D993" s="69"/>
      <c r="E993" s="69"/>
      <c r="F993" s="69"/>
      <c r="G993" s="69"/>
      <c r="I993" s="70"/>
      <c r="J993" s="70"/>
      <c r="K993" s="70"/>
      <c r="L993" s="70"/>
      <c r="M993" s="70"/>
      <c r="N993" s="70"/>
      <c r="P993" s="71"/>
    </row>
    <row r="994" spans="2:16" x14ac:dyDescent="0.2">
      <c r="B994" s="68"/>
      <c r="C994" s="69"/>
      <c r="D994" s="69"/>
      <c r="E994" s="69"/>
      <c r="F994" s="69"/>
      <c r="G994" s="69"/>
      <c r="I994" s="70"/>
      <c r="J994" s="70"/>
      <c r="K994" s="70"/>
      <c r="L994" s="70"/>
      <c r="M994" s="70"/>
      <c r="N994" s="70"/>
      <c r="P994" s="71"/>
    </row>
    <row r="995" spans="2:16" x14ac:dyDescent="0.2">
      <c r="B995" s="68"/>
      <c r="C995" s="69"/>
      <c r="D995" s="69"/>
      <c r="E995" s="69"/>
      <c r="F995" s="69"/>
      <c r="G995" s="69"/>
      <c r="I995" s="70"/>
      <c r="J995" s="70"/>
      <c r="K995" s="70"/>
      <c r="L995" s="70"/>
      <c r="M995" s="70"/>
      <c r="N995" s="70"/>
      <c r="P995" s="71"/>
    </row>
    <row r="996" spans="2:16" x14ac:dyDescent="0.2">
      <c r="B996" s="68"/>
      <c r="C996" s="69"/>
      <c r="D996" s="69"/>
      <c r="E996" s="69"/>
      <c r="F996" s="69"/>
      <c r="G996" s="69"/>
      <c r="I996" s="70"/>
      <c r="J996" s="70"/>
      <c r="K996" s="70"/>
      <c r="L996" s="70"/>
      <c r="M996" s="70"/>
      <c r="N996" s="70"/>
      <c r="P996" s="71"/>
    </row>
    <row r="997" spans="2:16" x14ac:dyDescent="0.2">
      <c r="B997" s="68"/>
      <c r="C997" s="69"/>
      <c r="D997" s="69"/>
      <c r="E997" s="69"/>
      <c r="F997" s="69"/>
      <c r="G997" s="69"/>
      <c r="I997" s="70"/>
      <c r="J997" s="70"/>
      <c r="K997" s="70"/>
      <c r="L997" s="70"/>
      <c r="M997" s="70"/>
      <c r="N997" s="70"/>
      <c r="P997" s="71"/>
    </row>
    <row r="998" spans="2:16" x14ac:dyDescent="0.2">
      <c r="B998" s="68"/>
      <c r="C998" s="69"/>
      <c r="D998" s="69"/>
      <c r="E998" s="69"/>
      <c r="F998" s="69"/>
      <c r="G998" s="69"/>
      <c r="I998" s="70"/>
      <c r="J998" s="70"/>
      <c r="K998" s="70"/>
      <c r="L998" s="70"/>
      <c r="M998" s="70"/>
      <c r="N998" s="70"/>
      <c r="P998" s="71"/>
    </row>
    <row r="999" spans="2:16" x14ac:dyDescent="0.2">
      <c r="B999" s="68"/>
      <c r="C999" s="69"/>
      <c r="D999" s="69"/>
      <c r="E999" s="69"/>
      <c r="F999" s="69"/>
      <c r="G999" s="69"/>
      <c r="I999" s="70"/>
      <c r="J999" s="70"/>
      <c r="K999" s="70"/>
      <c r="L999" s="70"/>
      <c r="M999" s="70"/>
      <c r="N999" s="70"/>
      <c r="P999" s="71"/>
    </row>
    <row r="1000" spans="2:16" x14ac:dyDescent="0.2">
      <c r="B1000" s="68"/>
      <c r="C1000" s="69"/>
      <c r="D1000" s="69"/>
      <c r="E1000" s="69"/>
      <c r="F1000" s="69"/>
      <c r="G1000" s="69"/>
      <c r="I1000" s="70"/>
      <c r="J1000" s="70"/>
      <c r="K1000" s="70"/>
      <c r="L1000" s="70"/>
      <c r="M1000" s="70"/>
      <c r="N1000" s="70"/>
      <c r="P1000" s="71"/>
    </row>
    <row r="1001" spans="2:16" x14ac:dyDescent="0.2">
      <c r="B1001" s="68"/>
      <c r="C1001" s="69"/>
      <c r="D1001" s="69"/>
      <c r="E1001" s="69"/>
      <c r="F1001" s="69"/>
      <c r="G1001" s="69"/>
      <c r="I1001" s="70"/>
      <c r="J1001" s="70"/>
      <c r="K1001" s="70"/>
      <c r="L1001" s="70"/>
      <c r="M1001" s="70"/>
      <c r="N1001" s="70"/>
      <c r="P1001" s="71"/>
    </row>
    <row r="1002" spans="2:16" x14ac:dyDescent="0.2">
      <c r="B1002" s="68"/>
      <c r="C1002" s="69"/>
      <c r="D1002" s="69"/>
      <c r="E1002" s="69"/>
      <c r="F1002" s="69"/>
      <c r="G1002" s="69"/>
      <c r="I1002" s="70"/>
      <c r="J1002" s="70"/>
      <c r="K1002" s="70"/>
      <c r="L1002" s="70"/>
      <c r="M1002" s="70"/>
      <c r="N1002" s="70"/>
      <c r="P1002" s="71"/>
    </row>
    <row r="1003" spans="2:16" x14ac:dyDescent="0.2">
      <c r="B1003" s="68"/>
      <c r="C1003" s="69"/>
      <c r="D1003" s="69"/>
      <c r="E1003" s="69"/>
      <c r="F1003" s="69"/>
      <c r="G1003" s="69"/>
      <c r="I1003" s="70"/>
      <c r="J1003" s="70"/>
      <c r="K1003" s="70"/>
      <c r="L1003" s="70"/>
      <c r="M1003" s="70"/>
      <c r="N1003" s="70"/>
      <c r="P1003" s="71"/>
    </row>
    <row r="1004" spans="2:16" x14ac:dyDescent="0.2">
      <c r="B1004" s="68"/>
      <c r="C1004" s="69"/>
      <c r="D1004" s="69"/>
      <c r="E1004" s="69"/>
      <c r="F1004" s="69"/>
      <c r="G1004" s="69"/>
      <c r="I1004" s="70"/>
      <c r="J1004" s="70"/>
      <c r="K1004" s="70"/>
      <c r="L1004" s="70"/>
      <c r="M1004" s="70"/>
      <c r="N1004" s="70"/>
      <c r="P1004" s="71"/>
    </row>
    <row r="1005" spans="2:16" x14ac:dyDescent="0.2">
      <c r="B1005" s="68"/>
      <c r="C1005" s="69"/>
      <c r="D1005" s="69"/>
      <c r="E1005" s="69"/>
      <c r="F1005" s="69"/>
      <c r="G1005" s="69"/>
      <c r="I1005" s="70"/>
      <c r="J1005" s="70"/>
      <c r="K1005" s="70"/>
      <c r="L1005" s="70"/>
      <c r="M1005" s="70"/>
      <c r="N1005" s="70"/>
      <c r="P1005" s="71"/>
    </row>
    <row r="1006" spans="2:16" x14ac:dyDescent="0.2">
      <c r="B1006" s="68"/>
      <c r="C1006" s="69"/>
      <c r="D1006" s="69"/>
      <c r="E1006" s="69"/>
      <c r="F1006" s="69"/>
      <c r="G1006" s="69"/>
      <c r="I1006" s="70"/>
      <c r="J1006" s="70"/>
      <c r="K1006" s="70"/>
      <c r="L1006" s="70"/>
      <c r="M1006" s="70"/>
      <c r="N1006" s="70"/>
      <c r="P1006" s="71"/>
    </row>
    <row r="1007" spans="2:16" x14ac:dyDescent="0.2">
      <c r="B1007" s="68"/>
      <c r="C1007" s="69"/>
      <c r="D1007" s="69"/>
      <c r="E1007" s="69"/>
      <c r="F1007" s="69"/>
      <c r="G1007" s="69"/>
      <c r="I1007" s="70"/>
      <c r="J1007" s="70"/>
      <c r="K1007" s="70"/>
      <c r="L1007" s="70"/>
      <c r="M1007" s="70"/>
      <c r="N1007" s="70"/>
      <c r="P1007" s="71"/>
    </row>
    <row r="1008" spans="2:16" x14ac:dyDescent="0.2">
      <c r="B1008" s="68"/>
      <c r="C1008" s="69"/>
      <c r="D1008" s="69"/>
      <c r="E1008" s="69"/>
      <c r="F1008" s="69"/>
      <c r="G1008" s="69"/>
      <c r="I1008" s="70"/>
      <c r="J1008" s="70"/>
      <c r="K1008" s="70"/>
      <c r="L1008" s="70"/>
      <c r="M1008" s="70"/>
      <c r="N1008" s="70"/>
      <c r="P1008" s="71"/>
    </row>
    <row r="1009" spans="2:16" x14ac:dyDescent="0.2">
      <c r="B1009" s="68"/>
      <c r="C1009" s="69"/>
      <c r="D1009" s="69"/>
      <c r="E1009" s="69"/>
      <c r="F1009" s="69"/>
      <c r="G1009" s="69"/>
      <c r="I1009" s="70"/>
      <c r="J1009" s="70"/>
      <c r="K1009" s="70"/>
      <c r="L1009" s="70"/>
      <c r="M1009" s="70"/>
      <c r="N1009" s="70"/>
      <c r="P1009" s="71"/>
    </row>
    <row r="1010" spans="2:16" x14ac:dyDescent="0.2">
      <c r="B1010" s="68"/>
      <c r="C1010" s="69"/>
      <c r="D1010" s="69"/>
      <c r="E1010" s="69"/>
      <c r="F1010" s="69"/>
      <c r="G1010" s="69"/>
      <c r="I1010" s="70"/>
      <c r="J1010" s="70"/>
      <c r="K1010" s="70"/>
      <c r="L1010" s="70"/>
      <c r="M1010" s="70"/>
      <c r="N1010" s="70"/>
      <c r="P1010" s="71"/>
    </row>
    <row r="1011" spans="2:16" x14ac:dyDescent="0.2">
      <c r="B1011" s="68"/>
      <c r="C1011" s="69"/>
      <c r="D1011" s="69"/>
      <c r="E1011" s="69"/>
      <c r="F1011" s="69"/>
      <c r="G1011" s="69"/>
      <c r="I1011" s="70"/>
      <c r="J1011" s="70"/>
      <c r="K1011" s="70"/>
      <c r="L1011" s="70"/>
      <c r="M1011" s="70"/>
      <c r="N1011" s="70"/>
      <c r="P1011" s="71"/>
    </row>
    <row r="1012" spans="2:16" x14ac:dyDescent="0.2">
      <c r="B1012" s="68"/>
      <c r="C1012" s="69"/>
      <c r="D1012" s="69"/>
      <c r="E1012" s="69"/>
      <c r="F1012" s="69"/>
      <c r="G1012" s="69"/>
      <c r="I1012" s="70"/>
      <c r="J1012" s="70"/>
      <c r="K1012" s="70"/>
      <c r="L1012" s="70"/>
      <c r="M1012" s="70"/>
      <c r="N1012" s="70"/>
      <c r="P1012" s="71"/>
    </row>
    <row r="1013" spans="2:16" x14ac:dyDescent="0.2">
      <c r="B1013" s="68"/>
      <c r="C1013" s="69"/>
      <c r="D1013" s="69"/>
      <c r="E1013" s="69"/>
      <c r="F1013" s="69"/>
      <c r="G1013" s="69"/>
      <c r="I1013" s="70"/>
      <c r="J1013" s="70"/>
      <c r="K1013" s="70"/>
      <c r="L1013" s="70"/>
      <c r="M1013" s="70"/>
      <c r="N1013" s="70"/>
      <c r="P1013" s="71"/>
    </row>
    <row r="1014" spans="2:16" x14ac:dyDescent="0.2">
      <c r="B1014" s="68"/>
      <c r="C1014" s="69"/>
      <c r="D1014" s="69"/>
      <c r="E1014" s="69"/>
      <c r="F1014" s="69"/>
      <c r="G1014" s="69"/>
      <c r="I1014" s="70"/>
      <c r="J1014" s="70"/>
      <c r="K1014" s="70"/>
      <c r="L1014" s="70"/>
      <c r="M1014" s="70"/>
      <c r="N1014" s="70"/>
      <c r="P1014" s="71"/>
    </row>
    <row r="1015" spans="2:16" x14ac:dyDescent="0.2">
      <c r="B1015" s="68"/>
      <c r="C1015" s="69"/>
      <c r="D1015" s="69"/>
      <c r="E1015" s="69"/>
      <c r="F1015" s="69"/>
      <c r="G1015" s="69"/>
      <c r="I1015" s="70"/>
      <c r="J1015" s="70"/>
      <c r="K1015" s="70"/>
      <c r="L1015" s="70"/>
      <c r="M1015" s="70"/>
      <c r="N1015" s="70"/>
      <c r="P1015" s="71"/>
    </row>
    <row r="1016" spans="2:16" x14ac:dyDescent="0.2">
      <c r="B1016" s="68"/>
      <c r="C1016" s="69"/>
      <c r="D1016" s="69"/>
      <c r="E1016" s="69"/>
      <c r="F1016" s="69"/>
      <c r="G1016" s="69"/>
      <c r="I1016" s="70"/>
      <c r="J1016" s="70"/>
      <c r="K1016" s="70"/>
      <c r="L1016" s="70"/>
      <c r="M1016" s="70"/>
      <c r="N1016" s="70"/>
      <c r="P1016" s="71"/>
    </row>
    <row r="1017" spans="2:16" x14ac:dyDescent="0.2">
      <c r="B1017" s="68"/>
      <c r="C1017" s="69"/>
      <c r="D1017" s="69"/>
      <c r="E1017" s="69"/>
      <c r="F1017" s="69"/>
      <c r="G1017" s="69"/>
      <c r="I1017" s="70"/>
      <c r="J1017" s="70"/>
      <c r="K1017" s="70"/>
      <c r="L1017" s="70"/>
      <c r="M1017" s="70"/>
      <c r="N1017" s="70"/>
      <c r="P1017" s="71"/>
    </row>
    <row r="1018" spans="2:16" x14ac:dyDescent="0.2">
      <c r="B1018" s="68"/>
      <c r="C1018" s="69"/>
      <c r="D1018" s="69"/>
      <c r="E1018" s="69"/>
      <c r="F1018" s="69"/>
      <c r="G1018" s="69"/>
      <c r="I1018" s="70"/>
      <c r="J1018" s="70"/>
      <c r="K1018" s="70"/>
      <c r="L1018" s="70"/>
      <c r="M1018" s="70"/>
      <c r="N1018" s="70"/>
      <c r="P1018" s="71"/>
    </row>
    <row r="1019" spans="2:16" x14ac:dyDescent="0.2">
      <c r="B1019" s="68"/>
      <c r="C1019" s="69"/>
      <c r="D1019" s="69"/>
      <c r="E1019" s="69"/>
      <c r="F1019" s="69"/>
      <c r="G1019" s="69"/>
      <c r="I1019" s="70"/>
      <c r="J1019" s="70"/>
      <c r="K1019" s="70"/>
      <c r="L1019" s="70"/>
      <c r="M1019" s="70"/>
      <c r="N1019" s="70"/>
      <c r="P1019" s="71"/>
    </row>
    <row r="1020" spans="2:16" x14ac:dyDescent="0.2">
      <c r="B1020" s="68"/>
      <c r="C1020" s="69"/>
      <c r="D1020" s="69"/>
      <c r="E1020" s="69"/>
      <c r="F1020" s="69"/>
      <c r="G1020" s="69"/>
      <c r="I1020" s="70"/>
      <c r="J1020" s="70"/>
      <c r="K1020" s="70"/>
      <c r="L1020" s="70"/>
      <c r="M1020" s="70"/>
      <c r="N1020" s="70"/>
      <c r="P1020" s="71"/>
    </row>
    <row r="1021" spans="2:16" x14ac:dyDescent="0.2">
      <c r="B1021" s="68"/>
      <c r="C1021" s="69"/>
      <c r="D1021" s="69"/>
      <c r="E1021" s="69"/>
      <c r="F1021" s="69"/>
      <c r="G1021" s="69"/>
      <c r="I1021" s="70"/>
      <c r="J1021" s="70"/>
      <c r="K1021" s="70"/>
      <c r="L1021" s="70"/>
      <c r="M1021" s="70"/>
      <c r="N1021" s="70"/>
      <c r="P1021" s="71"/>
    </row>
    <row r="1022" spans="2:16" x14ac:dyDescent="0.2">
      <c r="B1022" s="68"/>
      <c r="C1022" s="69"/>
      <c r="D1022" s="69"/>
      <c r="E1022" s="69"/>
      <c r="F1022" s="69"/>
      <c r="G1022" s="69"/>
      <c r="I1022" s="70"/>
      <c r="J1022" s="70"/>
      <c r="K1022" s="70"/>
      <c r="L1022" s="70"/>
      <c r="M1022" s="70"/>
      <c r="N1022" s="70"/>
      <c r="P1022" s="71"/>
    </row>
    <row r="1023" spans="2:16" x14ac:dyDescent="0.2">
      <c r="B1023" s="68"/>
      <c r="C1023" s="69"/>
      <c r="D1023" s="69"/>
      <c r="E1023" s="69"/>
      <c r="F1023" s="69"/>
      <c r="G1023" s="69"/>
      <c r="I1023" s="70"/>
      <c r="J1023" s="70"/>
      <c r="K1023" s="70"/>
      <c r="L1023" s="70"/>
      <c r="M1023" s="70"/>
      <c r="N1023" s="70"/>
      <c r="P1023" s="71"/>
    </row>
    <row r="1024" spans="2:16" x14ac:dyDescent="0.2">
      <c r="B1024" s="68"/>
      <c r="C1024" s="69"/>
      <c r="D1024" s="69"/>
      <c r="E1024" s="69"/>
      <c r="F1024" s="69"/>
      <c r="G1024" s="69"/>
      <c r="I1024" s="70"/>
      <c r="J1024" s="70"/>
      <c r="K1024" s="70"/>
      <c r="L1024" s="70"/>
      <c r="M1024" s="70"/>
      <c r="N1024" s="70"/>
      <c r="P1024" s="71"/>
    </row>
    <row r="1025" spans="2:16" x14ac:dyDescent="0.2">
      <c r="B1025" s="68"/>
      <c r="C1025" s="69"/>
      <c r="D1025" s="69"/>
      <c r="E1025" s="69"/>
      <c r="F1025" s="69"/>
      <c r="G1025" s="69"/>
      <c r="I1025" s="70"/>
      <c r="J1025" s="70"/>
      <c r="K1025" s="70"/>
      <c r="L1025" s="70"/>
      <c r="M1025" s="70"/>
      <c r="N1025" s="70"/>
      <c r="P1025" s="71"/>
    </row>
    <row r="1026" spans="2:16" x14ac:dyDescent="0.2">
      <c r="B1026" s="68"/>
      <c r="C1026" s="69"/>
      <c r="D1026" s="69"/>
      <c r="E1026" s="69"/>
      <c r="F1026" s="69"/>
      <c r="G1026" s="69"/>
      <c r="I1026" s="70"/>
      <c r="J1026" s="70"/>
      <c r="K1026" s="70"/>
      <c r="L1026" s="70"/>
      <c r="M1026" s="70"/>
      <c r="N1026" s="70"/>
      <c r="P1026" s="71"/>
    </row>
    <row r="1027" spans="2:16" x14ac:dyDescent="0.2">
      <c r="B1027" s="68"/>
      <c r="C1027" s="69"/>
      <c r="D1027" s="69"/>
      <c r="E1027" s="69"/>
      <c r="F1027" s="69"/>
      <c r="G1027" s="69"/>
      <c r="I1027" s="70"/>
      <c r="J1027" s="70"/>
      <c r="K1027" s="70"/>
      <c r="L1027" s="70"/>
      <c r="M1027" s="70"/>
      <c r="N1027" s="70"/>
      <c r="P1027" s="71"/>
    </row>
    <row r="1028" spans="2:16" x14ac:dyDescent="0.2">
      <c r="B1028" s="68"/>
      <c r="C1028" s="69"/>
      <c r="D1028" s="69"/>
      <c r="E1028" s="69"/>
      <c r="F1028" s="69"/>
      <c r="G1028" s="69"/>
      <c r="I1028" s="70"/>
      <c r="J1028" s="70"/>
      <c r="K1028" s="70"/>
      <c r="L1028" s="70"/>
      <c r="M1028" s="70"/>
      <c r="N1028" s="70"/>
      <c r="P1028" s="71"/>
    </row>
    <row r="1029" spans="2:16" x14ac:dyDescent="0.2">
      <c r="B1029" s="68"/>
      <c r="C1029" s="69"/>
      <c r="D1029" s="69"/>
      <c r="E1029" s="69"/>
      <c r="F1029" s="69"/>
      <c r="G1029" s="69"/>
      <c r="I1029" s="70"/>
      <c r="J1029" s="70"/>
      <c r="K1029" s="70"/>
      <c r="L1029" s="70"/>
      <c r="M1029" s="70"/>
      <c r="N1029" s="70"/>
      <c r="P1029" s="71"/>
    </row>
    <row r="1030" spans="2:16" x14ac:dyDescent="0.2">
      <c r="B1030" s="68"/>
      <c r="C1030" s="69"/>
      <c r="D1030" s="69"/>
      <c r="E1030" s="69"/>
      <c r="F1030" s="69"/>
      <c r="G1030" s="69"/>
      <c r="I1030" s="70"/>
      <c r="J1030" s="70"/>
      <c r="K1030" s="70"/>
      <c r="L1030" s="70"/>
      <c r="M1030" s="70"/>
      <c r="N1030" s="70"/>
      <c r="P1030" s="71"/>
    </row>
    <row r="1031" spans="2:16" x14ac:dyDescent="0.2">
      <c r="B1031" s="68"/>
      <c r="C1031" s="69"/>
      <c r="D1031" s="69"/>
      <c r="E1031" s="69"/>
      <c r="F1031" s="69"/>
      <c r="G1031" s="69"/>
      <c r="I1031" s="70"/>
      <c r="J1031" s="70"/>
      <c r="K1031" s="70"/>
      <c r="L1031" s="70"/>
      <c r="M1031" s="70"/>
      <c r="N1031" s="70"/>
      <c r="P1031" s="71"/>
    </row>
    <row r="1032" spans="2:16" x14ac:dyDescent="0.2">
      <c r="B1032" s="68"/>
      <c r="C1032" s="69"/>
      <c r="D1032" s="69"/>
      <c r="E1032" s="69"/>
      <c r="F1032" s="69"/>
      <c r="G1032" s="69"/>
      <c r="I1032" s="70"/>
      <c r="J1032" s="70"/>
      <c r="K1032" s="70"/>
      <c r="L1032" s="70"/>
      <c r="M1032" s="70"/>
      <c r="N1032" s="70"/>
      <c r="P1032" s="71"/>
    </row>
    <row r="1033" spans="2:16" x14ac:dyDescent="0.2">
      <c r="B1033" s="68"/>
      <c r="C1033" s="69"/>
      <c r="D1033" s="69"/>
      <c r="E1033" s="69"/>
      <c r="F1033" s="69"/>
      <c r="G1033" s="69"/>
      <c r="I1033" s="70"/>
      <c r="J1033" s="70"/>
      <c r="K1033" s="70"/>
      <c r="L1033" s="70"/>
      <c r="M1033" s="70"/>
      <c r="N1033" s="70"/>
      <c r="P1033" s="71"/>
    </row>
    <row r="1034" spans="2:16" x14ac:dyDescent="0.2">
      <c r="B1034" s="68"/>
      <c r="C1034" s="69"/>
      <c r="D1034" s="69"/>
      <c r="E1034" s="69"/>
      <c r="F1034" s="69"/>
      <c r="G1034" s="69"/>
      <c r="I1034" s="70"/>
      <c r="J1034" s="70"/>
      <c r="K1034" s="70"/>
      <c r="L1034" s="70"/>
      <c r="M1034" s="70"/>
      <c r="N1034" s="70"/>
      <c r="P1034" s="71"/>
    </row>
    <row r="1035" spans="2:16" x14ac:dyDescent="0.2">
      <c r="B1035" s="68"/>
      <c r="C1035" s="69"/>
      <c r="D1035" s="69"/>
      <c r="E1035" s="69"/>
      <c r="F1035" s="69"/>
      <c r="G1035" s="69"/>
      <c r="I1035" s="70"/>
      <c r="J1035" s="70"/>
      <c r="K1035" s="70"/>
      <c r="L1035" s="70"/>
      <c r="M1035" s="70"/>
      <c r="N1035" s="70"/>
      <c r="P1035" s="71"/>
    </row>
    <row r="1036" spans="2:16" x14ac:dyDescent="0.2">
      <c r="B1036" s="68"/>
      <c r="C1036" s="69"/>
      <c r="D1036" s="69"/>
      <c r="E1036" s="69"/>
      <c r="F1036" s="69"/>
      <c r="G1036" s="69"/>
      <c r="I1036" s="70"/>
      <c r="J1036" s="70"/>
      <c r="K1036" s="70"/>
      <c r="L1036" s="70"/>
      <c r="M1036" s="70"/>
      <c r="N1036" s="70"/>
      <c r="P1036" s="71"/>
    </row>
    <row r="1037" spans="2:16" x14ac:dyDescent="0.2">
      <c r="B1037" s="68"/>
      <c r="C1037" s="69"/>
      <c r="D1037" s="69"/>
      <c r="E1037" s="69"/>
      <c r="F1037" s="69"/>
      <c r="G1037" s="69"/>
      <c r="I1037" s="70"/>
      <c r="J1037" s="70"/>
      <c r="K1037" s="70"/>
      <c r="L1037" s="70"/>
      <c r="M1037" s="70"/>
      <c r="N1037" s="70"/>
      <c r="P1037" s="71"/>
    </row>
    <row r="1038" spans="2:16" x14ac:dyDescent="0.2">
      <c r="B1038" s="68"/>
      <c r="C1038" s="69"/>
      <c r="D1038" s="69"/>
      <c r="E1038" s="69"/>
      <c r="F1038" s="69"/>
      <c r="G1038" s="69"/>
      <c r="I1038" s="70"/>
      <c r="J1038" s="70"/>
      <c r="K1038" s="70"/>
      <c r="L1038" s="70"/>
      <c r="M1038" s="70"/>
      <c r="N1038" s="70"/>
      <c r="P1038" s="71"/>
    </row>
    <row r="1039" spans="2:16" x14ac:dyDescent="0.2">
      <c r="B1039" s="68"/>
      <c r="C1039" s="69"/>
      <c r="D1039" s="69"/>
      <c r="E1039" s="69"/>
      <c r="F1039" s="69"/>
      <c r="G1039" s="69"/>
      <c r="I1039" s="70"/>
      <c r="J1039" s="70"/>
      <c r="K1039" s="70"/>
      <c r="L1039" s="70"/>
      <c r="M1039" s="70"/>
      <c r="N1039" s="70"/>
      <c r="P1039" s="71"/>
    </row>
    <row r="1040" spans="2:16" x14ac:dyDescent="0.2">
      <c r="B1040" s="68"/>
      <c r="C1040" s="69"/>
      <c r="D1040" s="69"/>
      <c r="E1040" s="69"/>
      <c r="F1040" s="69"/>
      <c r="G1040" s="69"/>
      <c r="I1040" s="70"/>
      <c r="J1040" s="70"/>
      <c r="K1040" s="70"/>
      <c r="L1040" s="70"/>
      <c r="M1040" s="70"/>
      <c r="N1040" s="70"/>
      <c r="P1040" s="71"/>
    </row>
    <row r="1041" spans="2:16" x14ac:dyDescent="0.2">
      <c r="B1041" s="68"/>
      <c r="C1041" s="69"/>
      <c r="D1041" s="69"/>
      <c r="E1041" s="69"/>
      <c r="F1041" s="69"/>
      <c r="G1041" s="69"/>
      <c r="I1041" s="70"/>
      <c r="J1041" s="70"/>
      <c r="K1041" s="70"/>
      <c r="L1041" s="70"/>
      <c r="M1041" s="70"/>
      <c r="N1041" s="70"/>
      <c r="P1041" s="71"/>
    </row>
    <row r="1042" spans="2:16" x14ac:dyDescent="0.2">
      <c r="B1042" s="68"/>
      <c r="C1042" s="69"/>
      <c r="D1042" s="69"/>
      <c r="E1042" s="69"/>
      <c r="F1042" s="69"/>
      <c r="G1042" s="69"/>
      <c r="I1042" s="70"/>
      <c r="J1042" s="70"/>
      <c r="K1042" s="70"/>
      <c r="L1042" s="70"/>
      <c r="M1042" s="70"/>
      <c r="N1042" s="70"/>
      <c r="P1042" s="71"/>
    </row>
    <row r="1043" spans="2:16" x14ac:dyDescent="0.2">
      <c r="B1043" s="68"/>
      <c r="C1043" s="69"/>
      <c r="D1043" s="69"/>
      <c r="E1043" s="69"/>
      <c r="F1043" s="69"/>
      <c r="G1043" s="69"/>
      <c r="I1043" s="70"/>
      <c r="J1043" s="70"/>
      <c r="K1043" s="70"/>
      <c r="L1043" s="70"/>
      <c r="M1043" s="70"/>
      <c r="N1043" s="70"/>
      <c r="P1043" s="71"/>
    </row>
    <row r="1044" spans="2:16" x14ac:dyDescent="0.2">
      <c r="B1044" s="68"/>
      <c r="C1044" s="69"/>
      <c r="D1044" s="69"/>
      <c r="E1044" s="69"/>
      <c r="F1044" s="69"/>
      <c r="G1044" s="69"/>
      <c r="I1044" s="70"/>
      <c r="J1044" s="70"/>
      <c r="K1044" s="70"/>
      <c r="L1044" s="70"/>
      <c r="M1044" s="70"/>
      <c r="N1044" s="70"/>
      <c r="P1044" s="71"/>
    </row>
    <row r="1045" spans="2:16" x14ac:dyDescent="0.2">
      <c r="B1045" s="68"/>
      <c r="C1045" s="69"/>
      <c r="D1045" s="69"/>
      <c r="E1045" s="69"/>
      <c r="F1045" s="69"/>
      <c r="G1045" s="69"/>
      <c r="I1045" s="70"/>
      <c r="J1045" s="70"/>
      <c r="K1045" s="70"/>
      <c r="L1045" s="70"/>
      <c r="M1045" s="70"/>
      <c r="N1045" s="70"/>
      <c r="P1045" s="71"/>
    </row>
    <row r="1046" spans="2:16" x14ac:dyDescent="0.2">
      <c r="B1046" s="68"/>
      <c r="C1046" s="69"/>
      <c r="D1046" s="69"/>
      <c r="E1046" s="69"/>
      <c r="F1046" s="69"/>
      <c r="G1046" s="69"/>
      <c r="I1046" s="70"/>
      <c r="J1046" s="70"/>
      <c r="K1046" s="70"/>
      <c r="L1046" s="70"/>
      <c r="M1046" s="70"/>
      <c r="N1046" s="70"/>
      <c r="P1046" s="71"/>
    </row>
    <row r="1047" spans="2:16" x14ac:dyDescent="0.2">
      <c r="B1047" s="68"/>
      <c r="C1047" s="69"/>
      <c r="D1047" s="69"/>
      <c r="E1047" s="69"/>
      <c r="F1047" s="69"/>
      <c r="G1047" s="69"/>
      <c r="I1047" s="70"/>
      <c r="J1047" s="70"/>
      <c r="K1047" s="70"/>
      <c r="L1047" s="70"/>
      <c r="M1047" s="70"/>
      <c r="N1047" s="70"/>
      <c r="P1047" s="71"/>
    </row>
    <row r="1048" spans="2:16" x14ac:dyDescent="0.2">
      <c r="B1048" s="68"/>
      <c r="C1048" s="69"/>
      <c r="D1048" s="69"/>
      <c r="E1048" s="69"/>
      <c r="F1048" s="69"/>
      <c r="G1048" s="69"/>
      <c r="I1048" s="70"/>
      <c r="J1048" s="70"/>
      <c r="K1048" s="70"/>
      <c r="L1048" s="70"/>
      <c r="M1048" s="70"/>
      <c r="N1048" s="70"/>
      <c r="P1048" s="71"/>
    </row>
    <row r="1049" spans="2:16" x14ac:dyDescent="0.2">
      <c r="B1049" s="68"/>
      <c r="C1049" s="69"/>
      <c r="D1049" s="69"/>
      <c r="E1049" s="69"/>
      <c r="F1049" s="69"/>
      <c r="G1049" s="69"/>
      <c r="I1049" s="70"/>
      <c r="J1049" s="70"/>
      <c r="K1049" s="70"/>
      <c r="L1049" s="70"/>
      <c r="M1049" s="70"/>
      <c r="N1049" s="70"/>
      <c r="P1049" s="71"/>
    </row>
    <row r="1050" spans="2:16" x14ac:dyDescent="0.2">
      <c r="B1050" s="68"/>
      <c r="C1050" s="69"/>
      <c r="D1050" s="69"/>
      <c r="E1050" s="69"/>
      <c r="F1050" s="69"/>
      <c r="G1050" s="69"/>
      <c r="I1050" s="70"/>
      <c r="J1050" s="70"/>
      <c r="K1050" s="70"/>
      <c r="L1050" s="70"/>
      <c r="M1050" s="70"/>
      <c r="N1050" s="70"/>
      <c r="P1050" s="71"/>
    </row>
    <row r="1051" spans="2:16" x14ac:dyDescent="0.2">
      <c r="B1051" s="68"/>
      <c r="C1051" s="69"/>
      <c r="D1051" s="69"/>
      <c r="E1051" s="69"/>
      <c r="F1051" s="69"/>
      <c r="G1051" s="69"/>
      <c r="I1051" s="70"/>
      <c r="J1051" s="70"/>
      <c r="K1051" s="70"/>
      <c r="L1051" s="70"/>
      <c r="M1051" s="70"/>
      <c r="N1051" s="70"/>
      <c r="P1051" s="71"/>
    </row>
    <row r="1052" spans="2:16" x14ac:dyDescent="0.2">
      <c r="B1052" s="68"/>
      <c r="C1052" s="69"/>
      <c r="D1052" s="69"/>
      <c r="E1052" s="69"/>
      <c r="F1052" s="69"/>
      <c r="G1052" s="69"/>
      <c r="I1052" s="70"/>
      <c r="J1052" s="70"/>
      <c r="K1052" s="70"/>
      <c r="L1052" s="70"/>
      <c r="M1052" s="70"/>
      <c r="N1052" s="70"/>
      <c r="P1052" s="71"/>
    </row>
    <row r="1053" spans="2:16" x14ac:dyDescent="0.2">
      <c r="B1053" s="68"/>
      <c r="C1053" s="69"/>
      <c r="D1053" s="69"/>
      <c r="E1053" s="69"/>
      <c r="F1053" s="69"/>
      <c r="G1053" s="69"/>
      <c r="I1053" s="70"/>
      <c r="J1053" s="70"/>
      <c r="K1053" s="70"/>
      <c r="L1053" s="70"/>
      <c r="M1053" s="70"/>
      <c r="N1053" s="70"/>
      <c r="P1053" s="71"/>
    </row>
    <row r="1054" spans="2:16" x14ac:dyDescent="0.2">
      <c r="B1054" s="68"/>
      <c r="C1054" s="69"/>
      <c r="D1054" s="69"/>
      <c r="E1054" s="69"/>
      <c r="F1054" s="69"/>
      <c r="G1054" s="69"/>
      <c r="I1054" s="70"/>
      <c r="J1054" s="70"/>
      <c r="K1054" s="70"/>
      <c r="L1054" s="70"/>
      <c r="M1054" s="70"/>
      <c r="N1054" s="70"/>
      <c r="P1054" s="71"/>
    </row>
    <row r="1055" spans="2:16" x14ac:dyDescent="0.2">
      <c r="B1055" s="68"/>
      <c r="C1055" s="69"/>
      <c r="D1055" s="69"/>
      <c r="E1055" s="69"/>
      <c r="F1055" s="69"/>
      <c r="G1055" s="69"/>
      <c r="I1055" s="70"/>
      <c r="J1055" s="70"/>
      <c r="K1055" s="70"/>
      <c r="L1055" s="70"/>
      <c r="M1055" s="70"/>
      <c r="N1055" s="70"/>
      <c r="P1055" s="71"/>
    </row>
    <row r="1056" spans="2:16" x14ac:dyDescent="0.2">
      <c r="B1056" s="68"/>
      <c r="C1056" s="69"/>
      <c r="D1056" s="69"/>
      <c r="E1056" s="69"/>
      <c r="F1056" s="69"/>
      <c r="G1056" s="69"/>
      <c r="I1056" s="70"/>
      <c r="J1056" s="70"/>
      <c r="K1056" s="70"/>
      <c r="L1056" s="70"/>
      <c r="M1056" s="70"/>
      <c r="N1056" s="70"/>
      <c r="P1056" s="71"/>
    </row>
    <row r="1057" spans="2:16" x14ac:dyDescent="0.2">
      <c r="B1057" s="68"/>
      <c r="C1057" s="69"/>
      <c r="D1057" s="69"/>
      <c r="E1057" s="69"/>
      <c r="F1057" s="69"/>
      <c r="G1057" s="69"/>
      <c r="I1057" s="70"/>
      <c r="J1057" s="70"/>
      <c r="K1057" s="70"/>
      <c r="L1057" s="70"/>
      <c r="M1057" s="70"/>
      <c r="N1057" s="70"/>
      <c r="P1057" s="71"/>
    </row>
    <row r="1058" spans="2:16" x14ac:dyDescent="0.2">
      <c r="B1058" s="68"/>
      <c r="C1058" s="69"/>
      <c r="D1058" s="69"/>
      <c r="E1058" s="69"/>
      <c r="F1058" s="69"/>
      <c r="G1058" s="69"/>
      <c r="I1058" s="70"/>
      <c r="J1058" s="70"/>
      <c r="K1058" s="70"/>
      <c r="L1058" s="70"/>
      <c r="M1058" s="70"/>
      <c r="N1058" s="70"/>
      <c r="P1058" s="71"/>
    </row>
    <row r="1059" spans="2:16" x14ac:dyDescent="0.2">
      <c r="B1059" s="68"/>
      <c r="C1059" s="69"/>
      <c r="D1059" s="69"/>
      <c r="E1059" s="69"/>
      <c r="F1059" s="69"/>
      <c r="G1059" s="69"/>
      <c r="I1059" s="70"/>
      <c r="J1059" s="70"/>
      <c r="K1059" s="70"/>
      <c r="L1059" s="70"/>
      <c r="M1059" s="70"/>
      <c r="N1059" s="70"/>
      <c r="P1059" s="71"/>
    </row>
    <row r="1060" spans="2:16" x14ac:dyDescent="0.2">
      <c r="B1060" s="68"/>
      <c r="C1060" s="69"/>
      <c r="D1060" s="69"/>
      <c r="E1060" s="69"/>
      <c r="F1060" s="69"/>
      <c r="G1060" s="69"/>
      <c r="I1060" s="70"/>
      <c r="J1060" s="70"/>
      <c r="K1060" s="70"/>
      <c r="L1060" s="70"/>
      <c r="M1060" s="70"/>
      <c r="N1060" s="70"/>
      <c r="P1060" s="71"/>
    </row>
    <row r="1061" spans="2:16" x14ac:dyDescent="0.2">
      <c r="B1061" s="68"/>
      <c r="C1061" s="69"/>
      <c r="D1061" s="69"/>
      <c r="E1061" s="69"/>
      <c r="F1061" s="69"/>
      <c r="G1061" s="69"/>
      <c r="I1061" s="70"/>
      <c r="J1061" s="70"/>
      <c r="K1061" s="70"/>
      <c r="L1061" s="70"/>
      <c r="M1061" s="70"/>
      <c r="N1061" s="70"/>
      <c r="P1061" s="71"/>
    </row>
    <row r="1062" spans="2:16" x14ac:dyDescent="0.2">
      <c r="B1062" s="68"/>
      <c r="C1062" s="69"/>
      <c r="D1062" s="69"/>
      <c r="E1062" s="69"/>
      <c r="F1062" s="69"/>
      <c r="G1062" s="69"/>
      <c r="I1062" s="70"/>
      <c r="J1062" s="70"/>
      <c r="K1062" s="70"/>
      <c r="L1062" s="70"/>
      <c r="M1062" s="70"/>
      <c r="N1062" s="70"/>
      <c r="P1062" s="71"/>
    </row>
    <row r="1063" spans="2:16" x14ac:dyDescent="0.2">
      <c r="B1063" s="68"/>
      <c r="C1063" s="69"/>
      <c r="D1063" s="69"/>
      <c r="E1063" s="69"/>
      <c r="F1063" s="69"/>
      <c r="G1063" s="69"/>
      <c r="I1063" s="70"/>
      <c r="J1063" s="70"/>
      <c r="K1063" s="70"/>
      <c r="L1063" s="70"/>
      <c r="M1063" s="70"/>
      <c r="N1063" s="70"/>
      <c r="P1063" s="71"/>
    </row>
    <row r="1064" spans="2:16" x14ac:dyDescent="0.2">
      <c r="B1064" s="68"/>
      <c r="C1064" s="69"/>
      <c r="D1064" s="69"/>
      <c r="E1064" s="69"/>
      <c r="F1064" s="69"/>
      <c r="G1064" s="69"/>
      <c r="I1064" s="70"/>
      <c r="J1064" s="70"/>
      <c r="K1064" s="70"/>
      <c r="L1064" s="70"/>
      <c r="M1064" s="70"/>
      <c r="N1064" s="70"/>
      <c r="P1064" s="71"/>
    </row>
    <row r="1065" spans="2:16" x14ac:dyDescent="0.2">
      <c r="B1065" s="68"/>
      <c r="C1065" s="69"/>
      <c r="D1065" s="69"/>
      <c r="E1065" s="69"/>
      <c r="F1065" s="69"/>
      <c r="G1065" s="69"/>
      <c r="I1065" s="70"/>
      <c r="J1065" s="70"/>
      <c r="K1065" s="70"/>
      <c r="L1065" s="70"/>
      <c r="M1065" s="70"/>
      <c r="N1065" s="70"/>
      <c r="P1065" s="71"/>
    </row>
    <row r="1066" spans="2:16" x14ac:dyDescent="0.2">
      <c r="B1066" s="68"/>
      <c r="C1066" s="69"/>
      <c r="D1066" s="69"/>
      <c r="E1066" s="69"/>
      <c r="F1066" s="69"/>
      <c r="G1066" s="69"/>
      <c r="I1066" s="70"/>
      <c r="J1066" s="70"/>
      <c r="K1066" s="70"/>
      <c r="L1066" s="70"/>
      <c r="M1066" s="70"/>
      <c r="N1066" s="70"/>
      <c r="P1066" s="71"/>
    </row>
    <row r="1067" spans="2:16" x14ac:dyDescent="0.2">
      <c r="B1067" s="68"/>
      <c r="C1067" s="69"/>
      <c r="D1067" s="69"/>
      <c r="E1067" s="69"/>
      <c r="F1067" s="69"/>
      <c r="G1067" s="69"/>
      <c r="I1067" s="70"/>
      <c r="J1067" s="70"/>
      <c r="K1067" s="70"/>
      <c r="L1067" s="70"/>
      <c r="M1067" s="70"/>
      <c r="N1067" s="70"/>
      <c r="P1067" s="71"/>
    </row>
    <row r="1068" spans="2:16" x14ac:dyDescent="0.2">
      <c r="B1068" s="68"/>
      <c r="C1068" s="69"/>
      <c r="D1068" s="69"/>
      <c r="E1068" s="69"/>
      <c r="F1068" s="69"/>
      <c r="G1068" s="69"/>
      <c r="I1068" s="70"/>
      <c r="J1068" s="70"/>
      <c r="K1068" s="70"/>
      <c r="L1068" s="70"/>
      <c r="M1068" s="70"/>
      <c r="N1068" s="70"/>
      <c r="P1068" s="71"/>
    </row>
    <row r="1069" spans="2:16" x14ac:dyDescent="0.2">
      <c r="B1069" s="68"/>
      <c r="C1069" s="69"/>
      <c r="D1069" s="69"/>
      <c r="E1069" s="69"/>
      <c r="F1069" s="69"/>
      <c r="G1069" s="69"/>
      <c r="I1069" s="70"/>
      <c r="J1069" s="70"/>
      <c r="K1069" s="70"/>
      <c r="L1069" s="70"/>
      <c r="M1069" s="70"/>
      <c r="N1069" s="70"/>
      <c r="P1069" s="71"/>
    </row>
    <row r="1070" spans="2:16" x14ac:dyDescent="0.2">
      <c r="B1070" s="68"/>
      <c r="C1070" s="69"/>
      <c r="D1070" s="69"/>
      <c r="E1070" s="69"/>
      <c r="F1070" s="69"/>
      <c r="G1070" s="69"/>
      <c r="I1070" s="70"/>
      <c r="J1070" s="70"/>
      <c r="K1070" s="70"/>
      <c r="L1070" s="70"/>
      <c r="M1070" s="70"/>
      <c r="N1070" s="70"/>
      <c r="P1070" s="71"/>
    </row>
    <row r="1071" spans="2:16" x14ac:dyDescent="0.2">
      <c r="B1071" s="68"/>
      <c r="C1071" s="69"/>
      <c r="D1071" s="69"/>
      <c r="E1071" s="69"/>
      <c r="F1071" s="69"/>
      <c r="G1071" s="69"/>
      <c r="I1071" s="70"/>
      <c r="J1071" s="70"/>
      <c r="K1071" s="70"/>
      <c r="L1071" s="70"/>
      <c r="M1071" s="70"/>
      <c r="N1071" s="70"/>
      <c r="P1071" s="71"/>
    </row>
    <row r="1072" spans="2:16" x14ac:dyDescent="0.2">
      <c r="B1072" s="68"/>
      <c r="C1072" s="69"/>
      <c r="D1072" s="69"/>
      <c r="E1072" s="69"/>
      <c r="F1072" s="69"/>
      <c r="G1072" s="69"/>
      <c r="I1072" s="70"/>
      <c r="J1072" s="70"/>
      <c r="K1072" s="70"/>
      <c r="L1072" s="70"/>
      <c r="M1072" s="70"/>
      <c r="N1072" s="70"/>
      <c r="P1072" s="71"/>
    </row>
    <row r="1073" spans="2:16" x14ac:dyDescent="0.2">
      <c r="B1073" s="68"/>
      <c r="C1073" s="69"/>
      <c r="D1073" s="69"/>
      <c r="E1073" s="69"/>
      <c r="F1073" s="69"/>
      <c r="G1073" s="69"/>
      <c r="I1073" s="70"/>
      <c r="J1073" s="70"/>
      <c r="K1073" s="70"/>
      <c r="L1073" s="70"/>
      <c r="M1073" s="70"/>
      <c r="N1073" s="70"/>
      <c r="P1073" s="71"/>
    </row>
    <row r="1074" spans="2:16" x14ac:dyDescent="0.2">
      <c r="B1074" s="68"/>
      <c r="C1074" s="69"/>
      <c r="D1074" s="69"/>
      <c r="E1074" s="69"/>
      <c r="F1074" s="69"/>
      <c r="G1074" s="69"/>
      <c r="I1074" s="70"/>
      <c r="J1074" s="70"/>
      <c r="K1074" s="70"/>
      <c r="L1074" s="70"/>
      <c r="M1074" s="70"/>
      <c r="N1074" s="70"/>
      <c r="P1074" s="71"/>
    </row>
    <row r="1075" spans="2:16" x14ac:dyDescent="0.2">
      <c r="B1075" s="68"/>
      <c r="C1075" s="69"/>
      <c r="D1075" s="69"/>
      <c r="E1075" s="69"/>
      <c r="F1075" s="69"/>
      <c r="G1075" s="69"/>
      <c r="I1075" s="70"/>
      <c r="J1075" s="70"/>
      <c r="K1075" s="70"/>
      <c r="L1075" s="70"/>
      <c r="M1075" s="70"/>
      <c r="N1075" s="70"/>
      <c r="P1075" s="71"/>
    </row>
    <row r="1076" spans="2:16" x14ac:dyDescent="0.2">
      <c r="B1076" s="68"/>
      <c r="C1076" s="69"/>
      <c r="D1076" s="69"/>
      <c r="E1076" s="69"/>
      <c r="F1076" s="69"/>
      <c r="G1076" s="69"/>
      <c r="I1076" s="70"/>
      <c r="J1076" s="70"/>
      <c r="K1076" s="70"/>
      <c r="L1076" s="70"/>
      <c r="M1076" s="70"/>
      <c r="N1076" s="70"/>
      <c r="P1076" s="71"/>
    </row>
    <row r="1077" spans="2:16" x14ac:dyDescent="0.2">
      <c r="B1077" s="68"/>
      <c r="C1077" s="69"/>
      <c r="D1077" s="69"/>
      <c r="E1077" s="69"/>
      <c r="F1077" s="69"/>
      <c r="G1077" s="69"/>
      <c r="I1077" s="70"/>
      <c r="J1077" s="70"/>
      <c r="K1077" s="70"/>
      <c r="L1077" s="70"/>
      <c r="M1077" s="70"/>
      <c r="N1077" s="70"/>
      <c r="P1077" s="71"/>
    </row>
    <row r="1078" spans="2:16" x14ac:dyDescent="0.2">
      <c r="B1078" s="68"/>
      <c r="C1078" s="69"/>
      <c r="D1078" s="69"/>
      <c r="E1078" s="69"/>
      <c r="F1078" s="69"/>
      <c r="G1078" s="69"/>
      <c r="I1078" s="70"/>
      <c r="J1078" s="70"/>
      <c r="K1078" s="70"/>
      <c r="L1078" s="70"/>
      <c r="M1078" s="70"/>
      <c r="N1078" s="70"/>
      <c r="P1078" s="71"/>
    </row>
    <row r="1079" spans="2:16" x14ac:dyDescent="0.2">
      <c r="B1079" s="68"/>
      <c r="C1079" s="69"/>
      <c r="D1079" s="69"/>
      <c r="E1079" s="69"/>
      <c r="F1079" s="69"/>
      <c r="G1079" s="69"/>
      <c r="I1079" s="70"/>
      <c r="J1079" s="70"/>
      <c r="K1079" s="70"/>
      <c r="L1079" s="70"/>
      <c r="M1079" s="70"/>
      <c r="N1079" s="70"/>
      <c r="P1079" s="71"/>
    </row>
    <row r="1080" spans="2:16" x14ac:dyDescent="0.2">
      <c r="B1080" s="68"/>
      <c r="C1080" s="69"/>
      <c r="D1080" s="69"/>
      <c r="E1080" s="69"/>
      <c r="F1080" s="69"/>
      <c r="G1080" s="69"/>
      <c r="I1080" s="70"/>
      <c r="J1080" s="70"/>
      <c r="K1080" s="70"/>
      <c r="L1080" s="70"/>
      <c r="M1080" s="70"/>
      <c r="N1080" s="70"/>
      <c r="P1080" s="71"/>
    </row>
    <row r="1081" spans="2:16" x14ac:dyDescent="0.2">
      <c r="B1081" s="68"/>
      <c r="C1081" s="69"/>
      <c r="D1081" s="69"/>
      <c r="E1081" s="69"/>
      <c r="F1081" s="69"/>
      <c r="G1081" s="69"/>
      <c r="I1081" s="70"/>
      <c r="J1081" s="70"/>
      <c r="K1081" s="70"/>
      <c r="L1081" s="70"/>
      <c r="M1081" s="70"/>
      <c r="N1081" s="70"/>
      <c r="P1081" s="71"/>
    </row>
    <row r="1082" spans="2:16" x14ac:dyDescent="0.2">
      <c r="B1082" s="68"/>
      <c r="C1082" s="69"/>
      <c r="D1082" s="69"/>
      <c r="E1082" s="69"/>
      <c r="F1082" s="69"/>
      <c r="G1082" s="69"/>
      <c r="I1082" s="70"/>
      <c r="J1082" s="70"/>
      <c r="K1082" s="70"/>
      <c r="L1082" s="70"/>
      <c r="M1082" s="70"/>
      <c r="N1082" s="70"/>
      <c r="P1082" s="71"/>
    </row>
    <row r="1083" spans="2:16" x14ac:dyDescent="0.2">
      <c r="B1083" s="68"/>
      <c r="C1083" s="69"/>
      <c r="D1083" s="69"/>
      <c r="E1083" s="69"/>
      <c r="F1083" s="69"/>
      <c r="G1083" s="69"/>
      <c r="I1083" s="70"/>
      <c r="J1083" s="70"/>
      <c r="K1083" s="70"/>
      <c r="L1083" s="70"/>
      <c r="M1083" s="70"/>
      <c r="N1083" s="70"/>
      <c r="P1083" s="71"/>
    </row>
    <row r="1084" spans="2:16" x14ac:dyDescent="0.2">
      <c r="B1084" s="68"/>
      <c r="C1084" s="69"/>
      <c r="D1084" s="69"/>
      <c r="E1084" s="69"/>
      <c r="F1084" s="69"/>
      <c r="G1084" s="69"/>
      <c r="I1084" s="70"/>
      <c r="J1084" s="70"/>
      <c r="K1084" s="70"/>
      <c r="L1084" s="70"/>
      <c r="M1084" s="70"/>
      <c r="N1084" s="70"/>
      <c r="P1084" s="71"/>
    </row>
    <row r="1085" spans="2:16" x14ac:dyDescent="0.2">
      <c r="B1085" s="68"/>
      <c r="C1085" s="69"/>
      <c r="D1085" s="69"/>
      <c r="E1085" s="69"/>
      <c r="F1085" s="69"/>
      <c r="G1085" s="69"/>
      <c r="I1085" s="70"/>
      <c r="J1085" s="70"/>
      <c r="K1085" s="70"/>
      <c r="L1085" s="70"/>
      <c r="M1085" s="70"/>
      <c r="N1085" s="70"/>
      <c r="P1085" s="71"/>
    </row>
    <row r="1086" spans="2:16" x14ac:dyDescent="0.2">
      <c r="B1086" s="68"/>
      <c r="C1086" s="69"/>
      <c r="D1086" s="69"/>
      <c r="E1086" s="69"/>
      <c r="F1086" s="69"/>
      <c r="G1086" s="69"/>
      <c r="I1086" s="70"/>
      <c r="J1086" s="70"/>
      <c r="K1086" s="70"/>
      <c r="L1086" s="70"/>
      <c r="M1086" s="70"/>
      <c r="N1086" s="70"/>
      <c r="P1086" s="71"/>
    </row>
    <row r="1087" spans="2:16" x14ac:dyDescent="0.2">
      <c r="B1087" s="68"/>
      <c r="C1087" s="69"/>
      <c r="D1087" s="69"/>
      <c r="E1087" s="69"/>
      <c r="F1087" s="69"/>
      <c r="G1087" s="69"/>
      <c r="I1087" s="70"/>
      <c r="J1087" s="70"/>
      <c r="K1087" s="70"/>
      <c r="L1087" s="70"/>
      <c r="M1087" s="70"/>
      <c r="N1087" s="70"/>
      <c r="P1087" s="71"/>
    </row>
    <row r="1088" spans="2:16" x14ac:dyDescent="0.2">
      <c r="B1088" s="68"/>
      <c r="C1088" s="69"/>
      <c r="D1088" s="69"/>
      <c r="E1088" s="69"/>
      <c r="F1088" s="69"/>
      <c r="G1088" s="69"/>
      <c r="I1088" s="70"/>
      <c r="J1088" s="70"/>
      <c r="K1088" s="70"/>
      <c r="L1088" s="70"/>
      <c r="M1088" s="70"/>
      <c r="N1088" s="70"/>
      <c r="P1088" s="71"/>
    </row>
    <row r="1089" spans="2:16" x14ac:dyDescent="0.2">
      <c r="B1089" s="68"/>
      <c r="C1089" s="69"/>
      <c r="D1089" s="69"/>
      <c r="E1089" s="69"/>
      <c r="F1089" s="69"/>
      <c r="G1089" s="69"/>
      <c r="I1089" s="70"/>
      <c r="J1089" s="70"/>
      <c r="K1089" s="70"/>
      <c r="L1089" s="70"/>
      <c r="M1089" s="70"/>
      <c r="N1089" s="70"/>
      <c r="P1089" s="71"/>
    </row>
    <row r="1090" spans="2:16" x14ac:dyDescent="0.2">
      <c r="B1090" s="68"/>
      <c r="C1090" s="69"/>
      <c r="D1090" s="69"/>
      <c r="E1090" s="69"/>
      <c r="F1090" s="69"/>
      <c r="G1090" s="69"/>
      <c r="I1090" s="70"/>
      <c r="J1090" s="70"/>
      <c r="K1090" s="70"/>
      <c r="L1090" s="70"/>
      <c r="M1090" s="70"/>
      <c r="N1090" s="70"/>
      <c r="P1090" s="71"/>
    </row>
    <row r="1091" spans="2:16" x14ac:dyDescent="0.2">
      <c r="B1091" s="68"/>
      <c r="C1091" s="69"/>
      <c r="D1091" s="69"/>
      <c r="E1091" s="69"/>
      <c r="F1091" s="69"/>
      <c r="G1091" s="69"/>
      <c r="I1091" s="70"/>
      <c r="J1091" s="70"/>
      <c r="K1091" s="70"/>
      <c r="L1091" s="70"/>
      <c r="M1091" s="70"/>
      <c r="N1091" s="70"/>
      <c r="P1091" s="71"/>
    </row>
    <row r="1092" spans="2:16" x14ac:dyDescent="0.2">
      <c r="B1092" s="68"/>
      <c r="C1092" s="69"/>
      <c r="D1092" s="69"/>
      <c r="E1092" s="69"/>
      <c r="F1092" s="69"/>
      <c r="G1092" s="69"/>
      <c r="I1092" s="70"/>
      <c r="J1092" s="70"/>
      <c r="K1092" s="70"/>
      <c r="L1092" s="70"/>
      <c r="M1092" s="70"/>
      <c r="N1092" s="70"/>
      <c r="P1092" s="71"/>
    </row>
    <row r="1093" spans="2:16" x14ac:dyDescent="0.2">
      <c r="B1093" s="68"/>
      <c r="C1093" s="69"/>
      <c r="D1093" s="69"/>
      <c r="E1093" s="69"/>
      <c r="F1093" s="69"/>
      <c r="G1093" s="69"/>
      <c r="I1093" s="70"/>
      <c r="J1093" s="70"/>
      <c r="K1093" s="70"/>
      <c r="L1093" s="70"/>
      <c r="M1093" s="70"/>
      <c r="N1093" s="70"/>
      <c r="P1093" s="71"/>
    </row>
    <row r="1094" spans="2:16" x14ac:dyDescent="0.2">
      <c r="B1094" s="68"/>
      <c r="C1094" s="69"/>
      <c r="D1094" s="69"/>
      <c r="E1094" s="69"/>
      <c r="F1094" s="69"/>
      <c r="G1094" s="69"/>
      <c r="I1094" s="70"/>
      <c r="J1094" s="70"/>
      <c r="K1094" s="70"/>
      <c r="L1094" s="70"/>
      <c r="M1094" s="70"/>
      <c r="N1094" s="70"/>
      <c r="P1094" s="71"/>
    </row>
    <row r="1095" spans="2:16" x14ac:dyDescent="0.2">
      <c r="B1095" s="68"/>
      <c r="C1095" s="69"/>
      <c r="D1095" s="69"/>
      <c r="E1095" s="69"/>
      <c r="F1095" s="69"/>
      <c r="G1095" s="69"/>
      <c r="I1095" s="70"/>
      <c r="J1095" s="70"/>
      <c r="K1095" s="70"/>
      <c r="L1095" s="70"/>
      <c r="M1095" s="70"/>
      <c r="N1095" s="70"/>
      <c r="P1095" s="71"/>
    </row>
    <row r="1096" spans="2:16" x14ac:dyDescent="0.2">
      <c r="B1096" s="68"/>
      <c r="C1096" s="69"/>
      <c r="D1096" s="69"/>
      <c r="E1096" s="69"/>
      <c r="F1096" s="69"/>
      <c r="G1096" s="69"/>
      <c r="I1096" s="70"/>
      <c r="J1096" s="70"/>
      <c r="K1096" s="70"/>
      <c r="L1096" s="70"/>
      <c r="M1096" s="70"/>
      <c r="N1096" s="70"/>
      <c r="P1096" s="71"/>
    </row>
    <row r="1097" spans="2:16" x14ac:dyDescent="0.2">
      <c r="B1097" s="68"/>
      <c r="C1097" s="69"/>
      <c r="D1097" s="69"/>
      <c r="E1097" s="69"/>
      <c r="F1097" s="69"/>
      <c r="G1097" s="69"/>
      <c r="I1097" s="70"/>
      <c r="J1097" s="70"/>
      <c r="K1097" s="70"/>
      <c r="L1097" s="70"/>
      <c r="M1097" s="70"/>
      <c r="N1097" s="70"/>
      <c r="P1097" s="71"/>
    </row>
    <row r="1098" spans="2:16" x14ac:dyDescent="0.2">
      <c r="B1098" s="68"/>
      <c r="C1098" s="69"/>
      <c r="D1098" s="69"/>
      <c r="E1098" s="69"/>
      <c r="F1098" s="69"/>
      <c r="G1098" s="69"/>
      <c r="I1098" s="70"/>
      <c r="J1098" s="70"/>
      <c r="K1098" s="70"/>
      <c r="L1098" s="70"/>
      <c r="M1098" s="70"/>
      <c r="N1098" s="70"/>
      <c r="P1098" s="71"/>
    </row>
    <row r="1099" spans="2:16" x14ac:dyDescent="0.2">
      <c r="B1099" s="68"/>
      <c r="C1099" s="69"/>
      <c r="D1099" s="69"/>
      <c r="E1099" s="69"/>
      <c r="F1099" s="69"/>
      <c r="G1099" s="69"/>
      <c r="I1099" s="70"/>
      <c r="J1099" s="70"/>
      <c r="K1099" s="70"/>
      <c r="L1099" s="70"/>
      <c r="M1099" s="70"/>
      <c r="N1099" s="70"/>
      <c r="P1099" s="71"/>
    </row>
    <row r="1100" spans="2:16" x14ac:dyDescent="0.2">
      <c r="B1100" s="68"/>
      <c r="C1100" s="69"/>
      <c r="D1100" s="69"/>
      <c r="E1100" s="69"/>
      <c r="F1100" s="69"/>
      <c r="G1100" s="69"/>
      <c r="I1100" s="70"/>
      <c r="J1100" s="70"/>
      <c r="K1100" s="70"/>
      <c r="L1100" s="70"/>
      <c r="M1100" s="70"/>
      <c r="N1100" s="70"/>
      <c r="P1100" s="71"/>
    </row>
    <row r="1101" spans="2:16" x14ac:dyDescent="0.2">
      <c r="B1101" s="68"/>
      <c r="C1101" s="69"/>
      <c r="D1101" s="69"/>
      <c r="E1101" s="69"/>
      <c r="F1101" s="69"/>
      <c r="G1101" s="69"/>
      <c r="I1101" s="70"/>
      <c r="J1101" s="70"/>
      <c r="K1101" s="70"/>
      <c r="L1101" s="70"/>
      <c r="M1101" s="70"/>
      <c r="N1101" s="70"/>
      <c r="P1101" s="71"/>
    </row>
    <row r="1102" spans="2:16" x14ac:dyDescent="0.2">
      <c r="B1102" s="68"/>
      <c r="C1102" s="69"/>
      <c r="D1102" s="69"/>
      <c r="E1102" s="69"/>
      <c r="F1102" s="69"/>
      <c r="G1102" s="69"/>
      <c r="I1102" s="70"/>
      <c r="J1102" s="70"/>
      <c r="K1102" s="70"/>
      <c r="L1102" s="70"/>
      <c r="M1102" s="70"/>
      <c r="N1102" s="70"/>
      <c r="P1102" s="71"/>
    </row>
    <row r="1103" spans="2:16" x14ac:dyDescent="0.2">
      <c r="B1103" s="68"/>
      <c r="C1103" s="69"/>
      <c r="D1103" s="69"/>
      <c r="E1103" s="69"/>
      <c r="F1103" s="69"/>
      <c r="G1103" s="69"/>
      <c r="I1103" s="70"/>
      <c r="J1103" s="70"/>
      <c r="K1103" s="70"/>
      <c r="L1103" s="70"/>
      <c r="M1103" s="70"/>
      <c r="N1103" s="70"/>
      <c r="P1103" s="71"/>
    </row>
    <row r="1104" spans="2:16" x14ac:dyDescent="0.2">
      <c r="B1104" s="68"/>
      <c r="C1104" s="69"/>
      <c r="D1104" s="69"/>
      <c r="E1104" s="69"/>
      <c r="F1104" s="69"/>
      <c r="G1104" s="69"/>
      <c r="I1104" s="70"/>
      <c r="J1104" s="70"/>
      <c r="K1104" s="70"/>
      <c r="L1104" s="70"/>
      <c r="M1104" s="70"/>
      <c r="N1104" s="70"/>
      <c r="P1104" s="71"/>
    </row>
    <row r="1105" spans="2:16" x14ac:dyDescent="0.2">
      <c r="B1105" s="68"/>
      <c r="C1105" s="69"/>
      <c r="D1105" s="69"/>
      <c r="E1105" s="69"/>
      <c r="F1105" s="69"/>
      <c r="G1105" s="69"/>
      <c r="I1105" s="70"/>
      <c r="J1105" s="70"/>
      <c r="K1105" s="70"/>
      <c r="L1105" s="70"/>
      <c r="M1105" s="70"/>
      <c r="N1105" s="70"/>
      <c r="P1105" s="71"/>
    </row>
    <row r="1106" spans="2:16" x14ac:dyDescent="0.2">
      <c r="B1106" s="68"/>
      <c r="C1106" s="69"/>
      <c r="D1106" s="69"/>
      <c r="E1106" s="69"/>
      <c r="F1106" s="69"/>
      <c r="G1106" s="69"/>
      <c r="I1106" s="70"/>
      <c r="J1106" s="70"/>
      <c r="K1106" s="70"/>
      <c r="L1106" s="70"/>
      <c r="M1106" s="70"/>
      <c r="N1106" s="70"/>
      <c r="P1106" s="71"/>
    </row>
    <row r="1107" spans="2:16" x14ac:dyDescent="0.2">
      <c r="B1107" s="68"/>
      <c r="C1107" s="69"/>
      <c r="D1107" s="69"/>
      <c r="E1107" s="69"/>
      <c r="F1107" s="69"/>
      <c r="G1107" s="69"/>
      <c r="I1107" s="70"/>
      <c r="J1107" s="70"/>
      <c r="K1107" s="70"/>
      <c r="L1107" s="70"/>
      <c r="M1107" s="70"/>
      <c r="N1107" s="70"/>
      <c r="P1107" s="71"/>
    </row>
    <row r="1108" spans="2:16" x14ac:dyDescent="0.2">
      <c r="B1108" s="68"/>
      <c r="C1108" s="69"/>
      <c r="D1108" s="69"/>
      <c r="E1108" s="69"/>
      <c r="F1108" s="69"/>
      <c r="G1108" s="69"/>
      <c r="I1108" s="70"/>
      <c r="J1108" s="70"/>
      <c r="K1108" s="70"/>
      <c r="L1108" s="70"/>
      <c r="M1108" s="70"/>
      <c r="N1108" s="70"/>
      <c r="P1108" s="71"/>
    </row>
    <row r="1109" spans="2:16" x14ac:dyDescent="0.2">
      <c r="B1109" s="68"/>
      <c r="C1109" s="69"/>
      <c r="D1109" s="69"/>
      <c r="E1109" s="69"/>
      <c r="F1109" s="69"/>
      <c r="G1109" s="69"/>
      <c r="I1109" s="70"/>
      <c r="J1109" s="70"/>
      <c r="K1109" s="70"/>
      <c r="L1109" s="70"/>
      <c r="M1109" s="70"/>
      <c r="N1109" s="70"/>
      <c r="P1109" s="71"/>
    </row>
    <row r="1110" spans="2:16" x14ac:dyDescent="0.2">
      <c r="B1110" s="68"/>
      <c r="C1110" s="69"/>
      <c r="D1110" s="69"/>
      <c r="E1110" s="69"/>
      <c r="F1110" s="69"/>
      <c r="G1110" s="69"/>
      <c r="I1110" s="70"/>
      <c r="J1110" s="70"/>
      <c r="K1110" s="70"/>
      <c r="L1110" s="70"/>
      <c r="M1110" s="70"/>
      <c r="N1110" s="70"/>
      <c r="P1110" s="71"/>
    </row>
    <row r="1111" spans="2:16" x14ac:dyDescent="0.2">
      <c r="B1111" s="68"/>
      <c r="C1111" s="69"/>
      <c r="D1111" s="69"/>
      <c r="E1111" s="69"/>
      <c r="F1111" s="69"/>
      <c r="G1111" s="69"/>
      <c r="I1111" s="70"/>
      <c r="J1111" s="70"/>
      <c r="K1111" s="70"/>
      <c r="L1111" s="70"/>
      <c r="M1111" s="70"/>
      <c r="N1111" s="70"/>
      <c r="P1111" s="71"/>
    </row>
    <row r="1112" spans="2:16" x14ac:dyDescent="0.2">
      <c r="B1112" s="68"/>
      <c r="C1112" s="69"/>
      <c r="D1112" s="69"/>
      <c r="E1112" s="69"/>
      <c r="F1112" s="69"/>
      <c r="G1112" s="69"/>
      <c r="I1112" s="70"/>
      <c r="J1112" s="70"/>
      <c r="K1112" s="70"/>
      <c r="L1112" s="70"/>
      <c r="M1112" s="70"/>
      <c r="N1112" s="70"/>
      <c r="P1112" s="71"/>
    </row>
    <row r="1113" spans="2:16" x14ac:dyDescent="0.2">
      <c r="B1113" s="68"/>
      <c r="C1113" s="69"/>
      <c r="D1113" s="69"/>
      <c r="E1113" s="69"/>
      <c r="F1113" s="69"/>
      <c r="G1113" s="69"/>
      <c r="I1113" s="70"/>
      <c r="J1113" s="70"/>
      <c r="K1113" s="70"/>
      <c r="L1113" s="70"/>
      <c r="M1113" s="70"/>
      <c r="N1113" s="70"/>
      <c r="P1113" s="71"/>
    </row>
    <row r="1114" spans="2:16" x14ac:dyDescent="0.2">
      <c r="B1114" s="68"/>
      <c r="C1114" s="69"/>
      <c r="D1114" s="69"/>
      <c r="E1114" s="69"/>
      <c r="F1114" s="69"/>
      <c r="G1114" s="69"/>
      <c r="I1114" s="70"/>
      <c r="J1114" s="70"/>
      <c r="K1114" s="70"/>
      <c r="L1114" s="70"/>
      <c r="M1114" s="70"/>
      <c r="N1114" s="70"/>
      <c r="P1114" s="71"/>
    </row>
    <row r="1115" spans="2:16" x14ac:dyDescent="0.2">
      <c r="B1115" s="68"/>
      <c r="C1115" s="69"/>
      <c r="D1115" s="69"/>
      <c r="E1115" s="69"/>
      <c r="F1115" s="69"/>
      <c r="G1115" s="69"/>
      <c r="I1115" s="70"/>
      <c r="J1115" s="70"/>
      <c r="K1115" s="70"/>
      <c r="L1115" s="70"/>
      <c r="M1115" s="70"/>
      <c r="N1115" s="70"/>
      <c r="P1115" s="71"/>
    </row>
    <row r="1116" spans="2:16" x14ac:dyDescent="0.2">
      <c r="B1116" s="68"/>
      <c r="C1116" s="69"/>
      <c r="D1116" s="69"/>
      <c r="E1116" s="69"/>
      <c r="F1116" s="69"/>
      <c r="G1116" s="69"/>
      <c r="I1116" s="70"/>
      <c r="J1116" s="70"/>
      <c r="K1116" s="70"/>
      <c r="L1116" s="70"/>
      <c r="M1116" s="70"/>
      <c r="N1116" s="70"/>
      <c r="P1116" s="71"/>
    </row>
    <row r="1117" spans="2:16" x14ac:dyDescent="0.2">
      <c r="B1117" s="68"/>
      <c r="C1117" s="69"/>
      <c r="D1117" s="69"/>
      <c r="E1117" s="69"/>
      <c r="F1117" s="69"/>
      <c r="G1117" s="69"/>
      <c r="I1117" s="70"/>
      <c r="J1117" s="70"/>
      <c r="K1117" s="70"/>
      <c r="L1117" s="70"/>
      <c r="M1117" s="70"/>
      <c r="N1117" s="70"/>
      <c r="P1117" s="71"/>
    </row>
    <row r="1118" spans="2:16" x14ac:dyDescent="0.2">
      <c r="B1118" s="68"/>
      <c r="C1118" s="69"/>
      <c r="D1118" s="69"/>
      <c r="E1118" s="69"/>
      <c r="F1118" s="69"/>
      <c r="G1118" s="69"/>
      <c r="I1118" s="70"/>
      <c r="J1118" s="70"/>
      <c r="K1118" s="70"/>
      <c r="L1118" s="70"/>
      <c r="M1118" s="70"/>
      <c r="N1118" s="70"/>
      <c r="P1118" s="71"/>
    </row>
    <row r="1119" spans="2:16" x14ac:dyDescent="0.2">
      <c r="B1119" s="68"/>
      <c r="C1119" s="69"/>
      <c r="D1119" s="69"/>
      <c r="E1119" s="69"/>
      <c r="F1119" s="69"/>
      <c r="G1119" s="69"/>
      <c r="I1119" s="70"/>
      <c r="J1119" s="70"/>
      <c r="K1119" s="70"/>
      <c r="L1119" s="70"/>
      <c r="M1119" s="70"/>
      <c r="N1119" s="70"/>
      <c r="P1119" s="71"/>
    </row>
    <row r="1120" spans="2:16" x14ac:dyDescent="0.2">
      <c r="B1120" s="68"/>
      <c r="C1120" s="69"/>
      <c r="D1120" s="69"/>
      <c r="E1120" s="69"/>
      <c r="F1120" s="69"/>
      <c r="G1120" s="69"/>
      <c r="I1120" s="70"/>
      <c r="J1120" s="70"/>
      <c r="K1120" s="70"/>
      <c r="L1120" s="70"/>
      <c r="M1120" s="70"/>
      <c r="N1120" s="70"/>
      <c r="P1120" s="71"/>
    </row>
    <row r="1121" spans="2:16" x14ac:dyDescent="0.2">
      <c r="B1121" s="68"/>
      <c r="C1121" s="69"/>
      <c r="D1121" s="69"/>
      <c r="E1121" s="69"/>
      <c r="F1121" s="69"/>
      <c r="G1121" s="69"/>
      <c r="I1121" s="70"/>
      <c r="J1121" s="70"/>
      <c r="K1121" s="70"/>
      <c r="L1121" s="70"/>
      <c r="M1121" s="70"/>
      <c r="N1121" s="70"/>
      <c r="P1121" s="71"/>
    </row>
    <row r="1122" spans="2:16" x14ac:dyDescent="0.2">
      <c r="B1122" s="68"/>
      <c r="C1122" s="69"/>
      <c r="D1122" s="69"/>
      <c r="E1122" s="69"/>
      <c r="F1122" s="69"/>
      <c r="G1122" s="69"/>
      <c r="I1122" s="70"/>
      <c r="J1122" s="70"/>
      <c r="K1122" s="70"/>
      <c r="L1122" s="70"/>
      <c r="M1122" s="70"/>
      <c r="N1122" s="70"/>
      <c r="P1122" s="71"/>
    </row>
    <row r="1123" spans="2:16" x14ac:dyDescent="0.2">
      <c r="B1123" s="68"/>
      <c r="C1123" s="69"/>
      <c r="D1123" s="69"/>
      <c r="E1123" s="69"/>
      <c r="F1123" s="69"/>
      <c r="G1123" s="69"/>
      <c r="I1123" s="70"/>
      <c r="J1123" s="70"/>
      <c r="K1123" s="70"/>
      <c r="L1123" s="70"/>
      <c r="M1123" s="70"/>
      <c r="N1123" s="70"/>
      <c r="P1123" s="71"/>
    </row>
    <row r="1124" spans="2:16" x14ac:dyDescent="0.2">
      <c r="B1124" s="68"/>
      <c r="C1124" s="69"/>
      <c r="D1124" s="69"/>
      <c r="E1124" s="69"/>
      <c r="F1124" s="69"/>
      <c r="G1124" s="69"/>
      <c r="I1124" s="70"/>
      <c r="J1124" s="70"/>
      <c r="K1124" s="70"/>
      <c r="L1124" s="70"/>
      <c r="M1124" s="70"/>
      <c r="N1124" s="70"/>
      <c r="P1124" s="71"/>
    </row>
    <row r="1125" spans="2:16" x14ac:dyDescent="0.2">
      <c r="B1125" s="68"/>
      <c r="C1125" s="69"/>
      <c r="D1125" s="69"/>
      <c r="E1125" s="69"/>
      <c r="F1125" s="69"/>
      <c r="G1125" s="69"/>
      <c r="I1125" s="70"/>
      <c r="J1125" s="70"/>
      <c r="K1125" s="70"/>
      <c r="L1125" s="70"/>
      <c r="M1125" s="70"/>
      <c r="N1125" s="70"/>
      <c r="P1125" s="71"/>
    </row>
    <row r="1126" spans="2:16" x14ac:dyDescent="0.2">
      <c r="B1126" s="68"/>
      <c r="C1126" s="69"/>
      <c r="D1126" s="69"/>
      <c r="E1126" s="69"/>
      <c r="F1126" s="69"/>
      <c r="G1126" s="69"/>
      <c r="I1126" s="70"/>
      <c r="J1126" s="70"/>
      <c r="K1126" s="70"/>
      <c r="L1126" s="70"/>
      <c r="M1126" s="70"/>
      <c r="N1126" s="70"/>
      <c r="P1126" s="71"/>
    </row>
    <row r="1127" spans="2:16" x14ac:dyDescent="0.2">
      <c r="B1127" s="68"/>
      <c r="C1127" s="69"/>
      <c r="D1127" s="69"/>
      <c r="E1127" s="69"/>
      <c r="F1127" s="69"/>
      <c r="G1127" s="69"/>
      <c r="I1127" s="70"/>
      <c r="J1127" s="70"/>
      <c r="K1127" s="70"/>
      <c r="L1127" s="70"/>
      <c r="M1127" s="70"/>
      <c r="N1127" s="70"/>
      <c r="P1127" s="71"/>
    </row>
    <row r="1128" spans="2:16" x14ac:dyDescent="0.2">
      <c r="B1128" s="68"/>
      <c r="C1128" s="69"/>
      <c r="D1128" s="69"/>
      <c r="E1128" s="69"/>
      <c r="F1128" s="69"/>
      <c r="G1128" s="69"/>
      <c r="I1128" s="70"/>
      <c r="J1128" s="70"/>
      <c r="K1128" s="70"/>
      <c r="L1128" s="70"/>
      <c r="M1128" s="70"/>
      <c r="N1128" s="70"/>
      <c r="P1128" s="71"/>
    </row>
    <row r="1129" spans="2:16" x14ac:dyDescent="0.2">
      <c r="B1129" s="68"/>
      <c r="C1129" s="69"/>
      <c r="D1129" s="69"/>
      <c r="E1129" s="69"/>
      <c r="F1129" s="69"/>
      <c r="G1129" s="69"/>
      <c r="I1129" s="70"/>
      <c r="J1129" s="70"/>
      <c r="K1129" s="70"/>
      <c r="L1129" s="70"/>
      <c r="M1129" s="70"/>
      <c r="N1129" s="70"/>
      <c r="P1129" s="71"/>
    </row>
    <row r="1130" spans="2:16" x14ac:dyDescent="0.2">
      <c r="B1130" s="68"/>
      <c r="C1130" s="69"/>
      <c r="D1130" s="69"/>
      <c r="E1130" s="69"/>
      <c r="F1130" s="69"/>
      <c r="G1130" s="69"/>
      <c r="I1130" s="70"/>
      <c r="J1130" s="70"/>
      <c r="K1130" s="70"/>
      <c r="L1130" s="70"/>
      <c r="M1130" s="70"/>
      <c r="N1130" s="70"/>
      <c r="P1130" s="71"/>
    </row>
    <row r="1131" spans="2:16" x14ac:dyDescent="0.2">
      <c r="B1131" s="68"/>
      <c r="C1131" s="69"/>
      <c r="D1131" s="69"/>
      <c r="E1131" s="69"/>
      <c r="F1131" s="69"/>
      <c r="G1131" s="69"/>
      <c r="I1131" s="70"/>
      <c r="J1131" s="70"/>
      <c r="K1131" s="70"/>
      <c r="L1131" s="70"/>
      <c r="M1131" s="70"/>
      <c r="N1131" s="70"/>
      <c r="P1131" s="71"/>
    </row>
    <row r="1132" spans="2:16" x14ac:dyDescent="0.2">
      <c r="B1132" s="68"/>
      <c r="C1132" s="69"/>
      <c r="D1132" s="69"/>
      <c r="E1132" s="69"/>
      <c r="F1132" s="69"/>
      <c r="G1132" s="69"/>
      <c r="I1132" s="70"/>
      <c r="J1132" s="70"/>
      <c r="K1132" s="70"/>
      <c r="L1132" s="70"/>
      <c r="M1132" s="70"/>
      <c r="N1132" s="70"/>
      <c r="P1132" s="71"/>
    </row>
    <row r="1133" spans="2:16" x14ac:dyDescent="0.2">
      <c r="B1133" s="68"/>
      <c r="C1133" s="69"/>
      <c r="D1133" s="69"/>
      <c r="E1133" s="69"/>
      <c r="F1133" s="69"/>
      <c r="G1133" s="69"/>
      <c r="I1133" s="70"/>
      <c r="J1133" s="70"/>
      <c r="K1133" s="70"/>
      <c r="L1133" s="70"/>
      <c r="M1133" s="70"/>
      <c r="N1133" s="70"/>
      <c r="P1133" s="71"/>
    </row>
    <row r="1134" spans="2:16" x14ac:dyDescent="0.2">
      <c r="B1134" s="68"/>
      <c r="C1134" s="69"/>
      <c r="D1134" s="69"/>
      <c r="E1134" s="69"/>
      <c r="F1134" s="69"/>
      <c r="G1134" s="69"/>
      <c r="I1134" s="70"/>
      <c r="J1134" s="70"/>
      <c r="K1134" s="70"/>
      <c r="L1134" s="70"/>
      <c r="M1134" s="70"/>
      <c r="N1134" s="70"/>
      <c r="P1134" s="71"/>
    </row>
    <row r="1135" spans="2:16" x14ac:dyDescent="0.2">
      <c r="B1135" s="68"/>
      <c r="C1135" s="69"/>
      <c r="D1135" s="69"/>
      <c r="E1135" s="69"/>
      <c r="F1135" s="69"/>
      <c r="G1135" s="69"/>
      <c r="I1135" s="70"/>
      <c r="J1135" s="70"/>
      <c r="K1135" s="70"/>
      <c r="L1135" s="70"/>
      <c r="M1135" s="70"/>
      <c r="N1135" s="70"/>
      <c r="P1135" s="71"/>
    </row>
    <row r="1136" spans="2:16" x14ac:dyDescent="0.2">
      <c r="B1136" s="68"/>
      <c r="C1136" s="69"/>
      <c r="D1136" s="69"/>
      <c r="E1136" s="69"/>
      <c r="F1136" s="69"/>
      <c r="G1136" s="69"/>
      <c r="I1136" s="70"/>
      <c r="J1136" s="70"/>
      <c r="K1136" s="70"/>
      <c r="L1136" s="70"/>
      <c r="M1136" s="70"/>
      <c r="N1136" s="70"/>
      <c r="P1136" s="71"/>
    </row>
    <row r="1137" spans="2:16" x14ac:dyDescent="0.2">
      <c r="B1137" s="68"/>
      <c r="C1137" s="69"/>
      <c r="D1137" s="69"/>
      <c r="E1137" s="69"/>
      <c r="F1137" s="69"/>
      <c r="G1137" s="69"/>
      <c r="I1137" s="70"/>
      <c r="J1137" s="70"/>
      <c r="K1137" s="70"/>
      <c r="L1137" s="70"/>
      <c r="M1137" s="70"/>
      <c r="N1137" s="70"/>
      <c r="P1137" s="71"/>
    </row>
    <row r="1138" spans="2:16" x14ac:dyDescent="0.2">
      <c r="B1138" s="68"/>
      <c r="C1138" s="69"/>
      <c r="D1138" s="69"/>
      <c r="E1138" s="69"/>
      <c r="F1138" s="69"/>
      <c r="G1138" s="69"/>
      <c r="I1138" s="70"/>
      <c r="J1138" s="70"/>
      <c r="K1138" s="70"/>
      <c r="L1138" s="70"/>
      <c r="M1138" s="70"/>
      <c r="N1138" s="70"/>
      <c r="P1138" s="71"/>
    </row>
    <row r="1139" spans="2:16" x14ac:dyDescent="0.2">
      <c r="B1139" s="68"/>
      <c r="C1139" s="69"/>
      <c r="D1139" s="69"/>
      <c r="E1139" s="69"/>
      <c r="F1139" s="69"/>
      <c r="G1139" s="69"/>
      <c r="I1139" s="70"/>
      <c r="J1139" s="70"/>
      <c r="K1139" s="70"/>
      <c r="L1139" s="70"/>
      <c r="M1139" s="70"/>
      <c r="N1139" s="70"/>
      <c r="P1139" s="71"/>
    </row>
    <row r="1140" spans="2:16" x14ac:dyDescent="0.2">
      <c r="B1140" s="68"/>
      <c r="C1140" s="69"/>
      <c r="D1140" s="69"/>
      <c r="E1140" s="69"/>
      <c r="F1140" s="69"/>
      <c r="G1140" s="69"/>
      <c r="I1140" s="70"/>
      <c r="J1140" s="70"/>
      <c r="K1140" s="70"/>
      <c r="L1140" s="70"/>
      <c r="M1140" s="70"/>
      <c r="N1140" s="70"/>
      <c r="P1140" s="71"/>
    </row>
    <row r="1141" spans="2:16" x14ac:dyDescent="0.2">
      <c r="B1141" s="68"/>
      <c r="C1141" s="69"/>
      <c r="D1141" s="69"/>
      <c r="E1141" s="69"/>
      <c r="F1141" s="69"/>
      <c r="G1141" s="69"/>
      <c r="I1141" s="70"/>
      <c r="J1141" s="70"/>
      <c r="K1141" s="70"/>
      <c r="L1141" s="70"/>
      <c r="M1141" s="70"/>
      <c r="N1141" s="70"/>
      <c r="P1141" s="71"/>
    </row>
    <row r="1142" spans="2:16" x14ac:dyDescent="0.2">
      <c r="B1142" s="68"/>
      <c r="C1142" s="69"/>
      <c r="D1142" s="69"/>
      <c r="E1142" s="69"/>
      <c r="F1142" s="69"/>
      <c r="G1142" s="69"/>
      <c r="I1142" s="70"/>
      <c r="J1142" s="70"/>
      <c r="K1142" s="70"/>
      <c r="L1142" s="70"/>
      <c r="M1142" s="70"/>
      <c r="N1142" s="70"/>
      <c r="P1142" s="71"/>
    </row>
    <row r="1143" spans="2:16" x14ac:dyDescent="0.2">
      <c r="B1143" s="68"/>
      <c r="C1143" s="69"/>
      <c r="D1143" s="69"/>
      <c r="E1143" s="69"/>
      <c r="F1143" s="69"/>
      <c r="G1143" s="69"/>
      <c r="I1143" s="70"/>
      <c r="J1143" s="70"/>
      <c r="K1143" s="70"/>
      <c r="L1143" s="70"/>
      <c r="M1143" s="70"/>
      <c r="N1143" s="70"/>
      <c r="P1143" s="71"/>
    </row>
    <row r="1144" spans="2:16" x14ac:dyDescent="0.2">
      <c r="B1144" s="68"/>
      <c r="C1144" s="69"/>
      <c r="D1144" s="69"/>
      <c r="E1144" s="69"/>
      <c r="F1144" s="69"/>
      <c r="G1144" s="69"/>
      <c r="I1144" s="70"/>
      <c r="J1144" s="70"/>
      <c r="K1144" s="70"/>
      <c r="L1144" s="70"/>
      <c r="M1144" s="70"/>
      <c r="N1144" s="70"/>
      <c r="P1144" s="71"/>
    </row>
    <row r="1145" spans="2:16" x14ac:dyDescent="0.2">
      <c r="B1145" s="68"/>
      <c r="C1145" s="69"/>
      <c r="D1145" s="69"/>
      <c r="E1145" s="69"/>
      <c r="F1145" s="69"/>
      <c r="G1145" s="69"/>
      <c r="I1145" s="70"/>
      <c r="J1145" s="70"/>
      <c r="K1145" s="70"/>
      <c r="L1145" s="70"/>
      <c r="M1145" s="70"/>
      <c r="N1145" s="70"/>
      <c r="P1145" s="71"/>
    </row>
    <row r="1146" spans="2:16" x14ac:dyDescent="0.2">
      <c r="B1146" s="68"/>
      <c r="C1146" s="69"/>
      <c r="D1146" s="69"/>
      <c r="E1146" s="69"/>
      <c r="F1146" s="69"/>
      <c r="G1146" s="69"/>
      <c r="I1146" s="70"/>
      <c r="J1146" s="70"/>
      <c r="K1146" s="70"/>
      <c r="L1146" s="70"/>
      <c r="M1146" s="70"/>
      <c r="N1146" s="70"/>
      <c r="P1146" s="71"/>
    </row>
    <row r="1147" spans="2:16" x14ac:dyDescent="0.2">
      <c r="B1147" s="68"/>
      <c r="C1147" s="69"/>
      <c r="D1147" s="69"/>
      <c r="E1147" s="69"/>
      <c r="F1147" s="69"/>
      <c r="G1147" s="69"/>
      <c r="I1147" s="70"/>
      <c r="J1147" s="70"/>
      <c r="K1147" s="70"/>
      <c r="L1147" s="70"/>
      <c r="M1147" s="70"/>
      <c r="N1147" s="70"/>
      <c r="P1147" s="71"/>
    </row>
    <row r="1148" spans="2:16" x14ac:dyDescent="0.2">
      <c r="B1148" s="68"/>
      <c r="C1148" s="69"/>
      <c r="D1148" s="69"/>
      <c r="E1148" s="69"/>
      <c r="F1148" s="69"/>
      <c r="G1148" s="69"/>
      <c r="I1148" s="70"/>
      <c r="J1148" s="70"/>
      <c r="K1148" s="70"/>
      <c r="L1148" s="70"/>
      <c r="M1148" s="70"/>
      <c r="N1148" s="70"/>
      <c r="P1148" s="71"/>
    </row>
    <row r="1149" spans="2:16" x14ac:dyDescent="0.2">
      <c r="B1149" s="68"/>
      <c r="C1149" s="69"/>
      <c r="D1149" s="69"/>
      <c r="E1149" s="69"/>
      <c r="F1149" s="69"/>
      <c r="G1149" s="69"/>
      <c r="I1149" s="70"/>
      <c r="J1149" s="70"/>
      <c r="K1149" s="70"/>
      <c r="L1149" s="70"/>
      <c r="M1149" s="70"/>
      <c r="N1149" s="70"/>
      <c r="P1149" s="71"/>
    </row>
    <row r="1150" spans="2:16" x14ac:dyDescent="0.2">
      <c r="B1150" s="68"/>
      <c r="C1150" s="69"/>
      <c r="D1150" s="69"/>
      <c r="E1150" s="69"/>
      <c r="F1150" s="69"/>
      <c r="G1150" s="69"/>
      <c r="I1150" s="70"/>
      <c r="J1150" s="70"/>
      <c r="K1150" s="70"/>
      <c r="L1150" s="70"/>
      <c r="M1150" s="70"/>
      <c r="N1150" s="70"/>
      <c r="P1150" s="71"/>
    </row>
    <row r="1151" spans="2:16" x14ac:dyDescent="0.2">
      <c r="B1151" s="68"/>
      <c r="C1151" s="69"/>
      <c r="D1151" s="69"/>
      <c r="E1151" s="69"/>
      <c r="F1151" s="69"/>
      <c r="G1151" s="69"/>
      <c r="I1151" s="70"/>
      <c r="J1151" s="70"/>
      <c r="K1151" s="70"/>
      <c r="L1151" s="70"/>
      <c r="M1151" s="70"/>
      <c r="N1151" s="70"/>
      <c r="P1151" s="71"/>
    </row>
    <row r="1152" spans="2:16" x14ac:dyDescent="0.2">
      <c r="B1152" s="68"/>
      <c r="C1152" s="69"/>
      <c r="D1152" s="69"/>
      <c r="E1152" s="69"/>
      <c r="F1152" s="69"/>
      <c r="G1152" s="69"/>
      <c r="I1152" s="70"/>
      <c r="J1152" s="70"/>
      <c r="K1152" s="70"/>
      <c r="L1152" s="70"/>
      <c r="M1152" s="70"/>
      <c r="N1152" s="70"/>
      <c r="P1152" s="71"/>
    </row>
    <row r="1153" spans="2:16" x14ac:dyDescent="0.2">
      <c r="B1153" s="68"/>
      <c r="C1153" s="69"/>
      <c r="D1153" s="69"/>
      <c r="E1153" s="69"/>
      <c r="F1153" s="69"/>
      <c r="G1153" s="69"/>
      <c r="I1153" s="70"/>
      <c r="J1153" s="70"/>
      <c r="K1153" s="70"/>
      <c r="L1153" s="70"/>
      <c r="M1153" s="70"/>
      <c r="N1153" s="70"/>
      <c r="P1153" s="71"/>
    </row>
    <row r="1154" spans="2:16" x14ac:dyDescent="0.2">
      <c r="B1154" s="68"/>
      <c r="C1154" s="69"/>
      <c r="D1154" s="69"/>
      <c r="E1154" s="69"/>
      <c r="F1154" s="69"/>
      <c r="G1154" s="69"/>
      <c r="I1154" s="70"/>
      <c r="J1154" s="70"/>
      <c r="K1154" s="70"/>
      <c r="L1154" s="70"/>
      <c r="M1154" s="70"/>
      <c r="N1154" s="70"/>
      <c r="P1154" s="71"/>
    </row>
    <row r="1155" spans="2:16" x14ac:dyDescent="0.2">
      <c r="B1155" s="68"/>
      <c r="C1155" s="69"/>
      <c r="D1155" s="69"/>
      <c r="E1155" s="69"/>
      <c r="F1155" s="69"/>
      <c r="G1155" s="69"/>
      <c r="I1155" s="70"/>
      <c r="J1155" s="70"/>
      <c r="K1155" s="70"/>
      <c r="L1155" s="70"/>
      <c r="M1155" s="70"/>
      <c r="N1155" s="70"/>
      <c r="P1155" s="71"/>
    </row>
    <row r="1156" spans="2:16" x14ac:dyDescent="0.2">
      <c r="B1156" s="68"/>
      <c r="C1156" s="69"/>
      <c r="D1156" s="69"/>
      <c r="E1156" s="69"/>
      <c r="F1156" s="69"/>
      <c r="G1156" s="69"/>
      <c r="I1156" s="70"/>
      <c r="J1156" s="70"/>
      <c r="K1156" s="70"/>
      <c r="L1156" s="70"/>
      <c r="M1156" s="70"/>
      <c r="N1156" s="70"/>
      <c r="P1156" s="71"/>
    </row>
    <row r="1157" spans="2:16" x14ac:dyDescent="0.2">
      <c r="B1157" s="68"/>
      <c r="C1157" s="69"/>
      <c r="D1157" s="69"/>
      <c r="E1157" s="69"/>
      <c r="F1157" s="69"/>
      <c r="G1157" s="69"/>
      <c r="I1157" s="70"/>
      <c r="J1157" s="70"/>
      <c r="K1157" s="70"/>
      <c r="L1157" s="70"/>
      <c r="M1157" s="70"/>
      <c r="N1157" s="70"/>
      <c r="P1157" s="71"/>
    </row>
    <row r="1158" spans="2:16" x14ac:dyDescent="0.2">
      <c r="B1158" s="68"/>
      <c r="C1158" s="69"/>
      <c r="D1158" s="69"/>
      <c r="E1158" s="69"/>
      <c r="F1158" s="69"/>
      <c r="G1158" s="69"/>
      <c r="I1158" s="70"/>
      <c r="J1158" s="70"/>
      <c r="K1158" s="70"/>
      <c r="L1158" s="70"/>
      <c r="M1158" s="70"/>
      <c r="N1158" s="70"/>
      <c r="P1158" s="71"/>
    </row>
    <row r="1159" spans="2:16" x14ac:dyDescent="0.2">
      <c r="B1159" s="68"/>
      <c r="C1159" s="69"/>
      <c r="D1159" s="69"/>
      <c r="E1159" s="69"/>
      <c r="F1159" s="69"/>
      <c r="G1159" s="69"/>
      <c r="I1159" s="70"/>
      <c r="J1159" s="70"/>
      <c r="K1159" s="70"/>
      <c r="L1159" s="70"/>
      <c r="M1159" s="70"/>
      <c r="N1159" s="70"/>
      <c r="P1159" s="71"/>
    </row>
    <row r="1160" spans="2:16" x14ac:dyDescent="0.2">
      <c r="B1160" s="68"/>
      <c r="C1160" s="69"/>
      <c r="D1160" s="69"/>
      <c r="E1160" s="69"/>
      <c r="F1160" s="69"/>
      <c r="G1160" s="69"/>
      <c r="I1160" s="70"/>
      <c r="J1160" s="70"/>
      <c r="K1160" s="70"/>
      <c r="L1160" s="70"/>
      <c r="M1160" s="70"/>
      <c r="N1160" s="70"/>
      <c r="P1160" s="71"/>
    </row>
    <row r="1161" spans="2:16" x14ac:dyDescent="0.2">
      <c r="B1161" s="68"/>
      <c r="C1161" s="69"/>
      <c r="D1161" s="69"/>
      <c r="E1161" s="69"/>
      <c r="F1161" s="69"/>
      <c r="G1161" s="69"/>
      <c r="I1161" s="70"/>
      <c r="J1161" s="70"/>
      <c r="K1161" s="70"/>
      <c r="L1161" s="70"/>
      <c r="M1161" s="70"/>
      <c r="N1161" s="70"/>
      <c r="P1161" s="71"/>
    </row>
    <row r="1162" spans="2:16" x14ac:dyDescent="0.2">
      <c r="B1162" s="68"/>
      <c r="C1162" s="69"/>
      <c r="D1162" s="69"/>
      <c r="E1162" s="69"/>
      <c r="F1162" s="69"/>
      <c r="G1162" s="69"/>
      <c r="I1162" s="70"/>
      <c r="J1162" s="70"/>
      <c r="K1162" s="70"/>
      <c r="L1162" s="70"/>
      <c r="M1162" s="70"/>
      <c r="N1162" s="70"/>
      <c r="P1162" s="71"/>
    </row>
    <row r="1163" spans="2:16" x14ac:dyDescent="0.2">
      <c r="B1163" s="68"/>
      <c r="C1163" s="69"/>
      <c r="D1163" s="69"/>
      <c r="E1163" s="69"/>
      <c r="F1163" s="69"/>
      <c r="G1163" s="69"/>
      <c r="I1163" s="70"/>
      <c r="J1163" s="70"/>
      <c r="K1163" s="70"/>
      <c r="L1163" s="70"/>
      <c r="M1163" s="70"/>
      <c r="N1163" s="70"/>
      <c r="P1163" s="71"/>
    </row>
    <row r="1164" spans="2:16" x14ac:dyDescent="0.2">
      <c r="B1164" s="68"/>
      <c r="C1164" s="69"/>
      <c r="D1164" s="69"/>
      <c r="E1164" s="69"/>
      <c r="F1164" s="69"/>
      <c r="G1164" s="69"/>
      <c r="I1164" s="70"/>
      <c r="J1164" s="70"/>
      <c r="K1164" s="70"/>
      <c r="L1164" s="70"/>
      <c r="M1164" s="70"/>
      <c r="N1164" s="70"/>
      <c r="P1164" s="71"/>
    </row>
    <row r="1165" spans="2:16" x14ac:dyDescent="0.2">
      <c r="B1165" s="68"/>
      <c r="C1165" s="69"/>
      <c r="D1165" s="69"/>
      <c r="E1165" s="69"/>
      <c r="F1165" s="69"/>
      <c r="G1165" s="69"/>
      <c r="I1165" s="70"/>
      <c r="J1165" s="70"/>
      <c r="K1165" s="70"/>
      <c r="L1165" s="70"/>
      <c r="M1165" s="70"/>
      <c r="N1165" s="70"/>
      <c r="P1165" s="71"/>
    </row>
    <row r="1166" spans="2:16" x14ac:dyDescent="0.2">
      <c r="B1166" s="68"/>
      <c r="C1166" s="69"/>
      <c r="D1166" s="69"/>
      <c r="E1166" s="69"/>
      <c r="F1166" s="69"/>
      <c r="G1166" s="69"/>
      <c r="I1166" s="70"/>
      <c r="J1166" s="70"/>
      <c r="K1166" s="70"/>
      <c r="L1166" s="70"/>
      <c r="M1166" s="70"/>
      <c r="N1166" s="70"/>
      <c r="P1166" s="71"/>
    </row>
    <row r="1167" spans="2:16" x14ac:dyDescent="0.2">
      <c r="B1167" s="68"/>
      <c r="C1167" s="69"/>
      <c r="D1167" s="69"/>
      <c r="E1167" s="69"/>
      <c r="F1167" s="69"/>
      <c r="G1167" s="69"/>
      <c r="I1167" s="70"/>
      <c r="J1167" s="70"/>
      <c r="K1167" s="70"/>
      <c r="L1167" s="70"/>
      <c r="M1167" s="70"/>
      <c r="N1167" s="70"/>
      <c r="P1167" s="71"/>
    </row>
    <row r="1168" spans="2:16" x14ac:dyDescent="0.2">
      <c r="B1168" s="68"/>
      <c r="C1168" s="69"/>
      <c r="D1168" s="69"/>
      <c r="E1168" s="69"/>
      <c r="F1168" s="69"/>
      <c r="G1168" s="69"/>
      <c r="I1168" s="70"/>
      <c r="J1168" s="70"/>
      <c r="K1168" s="70"/>
      <c r="L1168" s="70"/>
      <c r="M1168" s="70"/>
      <c r="N1168" s="70"/>
      <c r="P1168" s="71"/>
    </row>
    <row r="1169" spans="2:16" x14ac:dyDescent="0.2">
      <c r="B1169" s="68"/>
      <c r="C1169" s="69"/>
      <c r="D1169" s="69"/>
      <c r="E1169" s="69"/>
      <c r="F1169" s="69"/>
      <c r="G1169" s="69"/>
      <c r="I1169" s="70"/>
      <c r="J1169" s="70"/>
      <c r="K1169" s="70"/>
      <c r="L1169" s="70"/>
      <c r="M1169" s="70"/>
      <c r="N1169" s="70"/>
      <c r="P1169" s="71"/>
    </row>
    <row r="1170" spans="2:16" x14ac:dyDescent="0.2">
      <c r="B1170" s="68"/>
      <c r="C1170" s="69"/>
      <c r="D1170" s="69"/>
      <c r="E1170" s="69"/>
      <c r="F1170" s="69"/>
      <c r="G1170" s="69"/>
      <c r="I1170" s="70"/>
      <c r="J1170" s="70"/>
      <c r="K1170" s="70"/>
      <c r="L1170" s="70"/>
      <c r="M1170" s="70"/>
      <c r="N1170" s="70"/>
      <c r="P1170" s="71"/>
    </row>
    <row r="1171" spans="2:16" x14ac:dyDescent="0.2">
      <c r="B1171" s="68"/>
      <c r="C1171" s="69"/>
      <c r="D1171" s="69"/>
      <c r="E1171" s="69"/>
      <c r="F1171" s="69"/>
      <c r="G1171" s="69"/>
      <c r="I1171" s="70"/>
      <c r="J1171" s="70"/>
      <c r="K1171" s="70"/>
      <c r="L1171" s="70"/>
      <c r="M1171" s="70"/>
      <c r="N1171" s="70"/>
      <c r="P1171" s="71"/>
    </row>
    <row r="1172" spans="2:16" x14ac:dyDescent="0.2">
      <c r="B1172" s="68"/>
      <c r="C1172" s="69"/>
      <c r="D1172" s="69"/>
      <c r="E1172" s="69"/>
      <c r="F1172" s="69"/>
      <c r="G1172" s="69"/>
      <c r="I1172" s="70"/>
      <c r="J1172" s="70"/>
      <c r="K1172" s="70"/>
      <c r="L1172" s="70"/>
      <c r="M1172" s="70"/>
      <c r="N1172" s="70"/>
      <c r="P1172" s="71"/>
    </row>
    <row r="1173" spans="2:16" x14ac:dyDescent="0.2">
      <c r="B1173" s="68"/>
      <c r="C1173" s="69"/>
      <c r="D1173" s="69"/>
      <c r="E1173" s="69"/>
      <c r="F1173" s="69"/>
      <c r="G1173" s="69"/>
      <c r="I1173" s="70"/>
      <c r="J1173" s="70"/>
      <c r="K1173" s="70"/>
      <c r="L1173" s="70"/>
      <c r="M1173" s="70"/>
      <c r="N1173" s="70"/>
      <c r="P1173" s="71"/>
    </row>
    <row r="1174" spans="2:16" x14ac:dyDescent="0.2">
      <c r="B1174" s="68"/>
      <c r="C1174" s="69"/>
      <c r="D1174" s="69"/>
      <c r="E1174" s="69"/>
      <c r="F1174" s="69"/>
      <c r="G1174" s="69"/>
      <c r="I1174" s="70"/>
      <c r="J1174" s="70"/>
      <c r="K1174" s="70"/>
      <c r="L1174" s="70"/>
      <c r="M1174" s="70"/>
      <c r="N1174" s="70"/>
      <c r="P1174" s="71"/>
    </row>
    <row r="1175" spans="2:16" x14ac:dyDescent="0.2">
      <c r="B1175" s="68"/>
      <c r="C1175" s="69"/>
      <c r="D1175" s="69"/>
      <c r="E1175" s="69"/>
      <c r="F1175" s="69"/>
      <c r="G1175" s="69"/>
      <c r="I1175" s="70"/>
      <c r="J1175" s="70"/>
      <c r="K1175" s="70"/>
      <c r="L1175" s="70"/>
      <c r="M1175" s="70"/>
      <c r="N1175" s="70"/>
      <c r="P1175" s="71"/>
    </row>
    <row r="1176" spans="2:16" x14ac:dyDescent="0.2">
      <c r="B1176" s="68"/>
      <c r="C1176" s="69"/>
      <c r="D1176" s="69"/>
      <c r="E1176" s="69"/>
      <c r="F1176" s="69"/>
      <c r="G1176" s="69"/>
      <c r="I1176" s="70"/>
      <c r="J1176" s="70"/>
      <c r="K1176" s="70"/>
      <c r="L1176" s="70"/>
      <c r="M1176" s="70"/>
      <c r="N1176" s="70"/>
      <c r="P1176" s="71"/>
    </row>
    <row r="1177" spans="2:16" x14ac:dyDescent="0.2">
      <c r="B1177" s="68"/>
      <c r="C1177" s="69"/>
      <c r="D1177" s="69"/>
      <c r="E1177" s="69"/>
      <c r="F1177" s="69"/>
      <c r="G1177" s="69"/>
      <c r="I1177" s="70"/>
      <c r="J1177" s="70"/>
      <c r="K1177" s="70"/>
      <c r="L1177" s="70"/>
      <c r="M1177" s="70"/>
      <c r="N1177" s="70"/>
      <c r="P1177" s="71"/>
    </row>
    <row r="1178" spans="2:16" x14ac:dyDescent="0.2">
      <c r="B1178" s="68"/>
      <c r="C1178" s="69"/>
      <c r="D1178" s="69"/>
      <c r="E1178" s="69"/>
      <c r="F1178" s="69"/>
      <c r="G1178" s="69"/>
      <c r="I1178" s="70"/>
      <c r="J1178" s="70"/>
      <c r="K1178" s="70"/>
      <c r="L1178" s="70"/>
      <c r="M1178" s="70"/>
      <c r="N1178" s="70"/>
      <c r="P1178" s="71"/>
    </row>
    <row r="1179" spans="2:16" x14ac:dyDescent="0.2">
      <c r="B1179" s="68"/>
      <c r="C1179" s="69"/>
      <c r="D1179" s="69"/>
      <c r="E1179" s="69"/>
      <c r="F1179" s="69"/>
      <c r="G1179" s="69"/>
      <c r="I1179" s="70"/>
      <c r="J1179" s="70"/>
      <c r="K1179" s="70"/>
      <c r="L1179" s="70"/>
      <c r="M1179" s="70"/>
      <c r="N1179" s="70"/>
      <c r="P1179" s="71"/>
    </row>
    <row r="1180" spans="2:16" x14ac:dyDescent="0.2">
      <c r="B1180" s="68"/>
      <c r="C1180" s="69"/>
      <c r="D1180" s="69"/>
      <c r="E1180" s="69"/>
      <c r="F1180" s="69"/>
      <c r="G1180" s="69"/>
      <c r="I1180" s="70"/>
      <c r="J1180" s="70"/>
      <c r="K1180" s="70"/>
      <c r="L1180" s="70"/>
      <c r="M1180" s="70"/>
      <c r="N1180" s="70"/>
      <c r="P1180" s="71"/>
    </row>
    <row r="1181" spans="2:16" x14ac:dyDescent="0.2">
      <c r="B1181" s="68"/>
      <c r="C1181" s="69"/>
      <c r="D1181" s="69"/>
      <c r="E1181" s="69"/>
      <c r="F1181" s="69"/>
      <c r="G1181" s="69"/>
      <c r="I1181" s="70"/>
      <c r="J1181" s="70"/>
      <c r="K1181" s="70"/>
      <c r="L1181" s="70"/>
      <c r="M1181" s="70"/>
      <c r="N1181" s="70"/>
      <c r="P1181" s="71"/>
    </row>
    <row r="1182" spans="2:16" x14ac:dyDescent="0.2">
      <c r="B1182" s="68"/>
      <c r="C1182" s="69"/>
      <c r="D1182" s="69"/>
      <c r="E1182" s="69"/>
      <c r="F1182" s="69"/>
      <c r="G1182" s="69"/>
      <c r="I1182" s="70"/>
      <c r="J1182" s="70"/>
      <c r="K1182" s="70"/>
      <c r="L1182" s="70"/>
      <c r="M1182" s="70"/>
      <c r="N1182" s="70"/>
      <c r="P1182" s="71"/>
    </row>
    <row r="1183" spans="2:16" x14ac:dyDescent="0.2">
      <c r="B1183" s="68"/>
      <c r="C1183" s="69"/>
      <c r="D1183" s="69"/>
      <c r="E1183" s="69"/>
      <c r="F1183" s="69"/>
      <c r="G1183" s="69"/>
      <c r="I1183" s="70"/>
      <c r="J1183" s="70"/>
      <c r="K1183" s="70"/>
      <c r="L1183" s="70"/>
      <c r="M1183" s="70"/>
      <c r="N1183" s="70"/>
      <c r="P1183" s="71"/>
    </row>
    <row r="1184" spans="2:16" x14ac:dyDescent="0.2">
      <c r="B1184" s="68"/>
      <c r="C1184" s="69"/>
      <c r="D1184" s="69"/>
      <c r="E1184" s="69"/>
      <c r="F1184" s="69"/>
      <c r="G1184" s="69"/>
      <c r="I1184" s="70"/>
      <c r="J1184" s="70"/>
      <c r="K1184" s="70"/>
      <c r="L1184" s="70"/>
      <c r="M1184" s="70"/>
      <c r="N1184" s="70"/>
      <c r="P1184" s="71"/>
    </row>
    <row r="1185" spans="2:16" x14ac:dyDescent="0.2">
      <c r="B1185" s="68"/>
      <c r="C1185" s="69"/>
      <c r="D1185" s="69"/>
      <c r="E1185" s="69"/>
      <c r="F1185" s="69"/>
      <c r="G1185" s="69"/>
      <c r="I1185" s="70"/>
      <c r="J1185" s="70"/>
      <c r="K1185" s="70"/>
      <c r="L1185" s="70"/>
      <c r="M1185" s="70"/>
      <c r="N1185" s="70"/>
      <c r="P1185" s="71"/>
    </row>
    <row r="1186" spans="2:16" x14ac:dyDescent="0.2">
      <c r="B1186" s="68"/>
      <c r="C1186" s="69"/>
      <c r="D1186" s="69"/>
      <c r="E1186" s="69"/>
      <c r="F1186" s="69"/>
      <c r="G1186" s="69"/>
      <c r="I1186" s="70"/>
      <c r="J1186" s="70"/>
      <c r="K1186" s="70"/>
      <c r="L1186" s="70"/>
      <c r="M1186" s="70"/>
      <c r="N1186" s="70"/>
      <c r="P1186" s="71"/>
    </row>
    <row r="1187" spans="2:16" x14ac:dyDescent="0.2">
      <c r="B1187" s="68"/>
      <c r="C1187" s="69"/>
      <c r="D1187" s="69"/>
      <c r="E1187" s="69"/>
      <c r="F1187" s="69"/>
      <c r="G1187" s="69"/>
      <c r="I1187" s="70"/>
      <c r="J1187" s="70"/>
      <c r="K1187" s="70"/>
      <c r="L1187" s="70"/>
      <c r="M1187" s="70"/>
      <c r="N1187" s="70"/>
      <c r="P1187" s="71"/>
    </row>
    <row r="1188" spans="2:16" x14ac:dyDescent="0.2">
      <c r="B1188" s="68"/>
      <c r="C1188" s="69"/>
      <c r="D1188" s="69"/>
      <c r="E1188" s="69"/>
      <c r="F1188" s="69"/>
      <c r="G1188" s="69"/>
      <c r="I1188" s="70"/>
      <c r="J1188" s="70"/>
      <c r="K1188" s="70"/>
      <c r="L1188" s="70"/>
      <c r="M1188" s="70"/>
      <c r="N1188" s="70"/>
      <c r="P1188" s="71"/>
    </row>
    <row r="1189" spans="2:16" x14ac:dyDescent="0.2">
      <c r="B1189" s="68"/>
      <c r="C1189" s="69"/>
      <c r="D1189" s="69"/>
      <c r="E1189" s="69"/>
      <c r="F1189" s="69"/>
      <c r="G1189" s="69"/>
      <c r="I1189" s="70"/>
      <c r="J1189" s="70"/>
      <c r="K1189" s="70"/>
      <c r="L1189" s="70"/>
      <c r="M1189" s="70"/>
      <c r="N1189" s="70"/>
      <c r="P1189" s="71"/>
    </row>
    <row r="1190" spans="2:16" x14ac:dyDescent="0.2">
      <c r="B1190" s="68"/>
      <c r="C1190" s="69"/>
      <c r="D1190" s="69"/>
      <c r="E1190" s="69"/>
      <c r="F1190" s="69"/>
      <c r="G1190" s="69"/>
      <c r="I1190" s="70"/>
      <c r="J1190" s="70"/>
      <c r="K1190" s="70"/>
      <c r="L1190" s="70"/>
      <c r="M1190" s="70"/>
      <c r="N1190" s="70"/>
      <c r="P1190" s="71"/>
    </row>
    <row r="1191" spans="2:16" x14ac:dyDescent="0.2">
      <c r="B1191" s="68"/>
      <c r="C1191" s="69"/>
      <c r="D1191" s="69"/>
      <c r="E1191" s="69"/>
      <c r="F1191" s="69"/>
      <c r="G1191" s="69"/>
      <c r="I1191" s="70"/>
      <c r="J1191" s="70"/>
      <c r="K1191" s="70"/>
      <c r="L1191" s="70"/>
      <c r="M1191" s="70"/>
      <c r="N1191" s="70"/>
      <c r="P1191" s="71"/>
    </row>
    <row r="1192" spans="2:16" x14ac:dyDescent="0.2">
      <c r="B1192" s="68"/>
      <c r="C1192" s="69"/>
      <c r="D1192" s="69"/>
      <c r="E1192" s="69"/>
      <c r="F1192" s="69"/>
      <c r="G1192" s="69"/>
      <c r="I1192" s="70"/>
      <c r="J1192" s="70"/>
      <c r="K1192" s="70"/>
      <c r="L1192" s="70"/>
      <c r="M1192" s="70"/>
      <c r="N1192" s="70"/>
      <c r="P1192" s="71"/>
    </row>
    <row r="1193" spans="2:16" x14ac:dyDescent="0.2">
      <c r="B1193" s="68"/>
      <c r="C1193" s="69"/>
      <c r="D1193" s="69"/>
      <c r="E1193" s="69"/>
      <c r="F1193" s="69"/>
      <c r="G1193" s="69"/>
      <c r="I1193" s="70"/>
      <c r="J1193" s="70"/>
      <c r="K1193" s="70"/>
      <c r="L1193" s="70"/>
      <c r="M1193" s="70"/>
      <c r="N1193" s="70"/>
      <c r="P1193" s="71"/>
    </row>
    <row r="1194" spans="2:16" x14ac:dyDescent="0.2">
      <c r="B1194" s="68"/>
      <c r="C1194" s="69"/>
      <c r="D1194" s="69"/>
      <c r="E1194" s="69"/>
      <c r="F1194" s="69"/>
      <c r="G1194" s="69"/>
      <c r="I1194" s="70"/>
      <c r="J1194" s="70"/>
      <c r="K1194" s="70"/>
      <c r="L1194" s="70"/>
      <c r="M1194" s="70"/>
      <c r="N1194" s="70"/>
      <c r="P1194" s="71"/>
    </row>
    <row r="1195" spans="2:16" x14ac:dyDescent="0.2">
      <c r="B1195" s="68"/>
      <c r="C1195" s="69"/>
      <c r="D1195" s="69"/>
      <c r="E1195" s="69"/>
      <c r="F1195" s="69"/>
      <c r="G1195" s="69"/>
      <c r="I1195" s="70"/>
      <c r="J1195" s="70"/>
      <c r="K1195" s="70"/>
      <c r="L1195" s="70"/>
      <c r="M1195" s="70"/>
      <c r="N1195" s="70"/>
      <c r="P1195" s="71"/>
    </row>
    <row r="1196" spans="2:16" x14ac:dyDescent="0.2">
      <c r="B1196" s="68"/>
      <c r="C1196" s="69"/>
      <c r="D1196" s="69"/>
      <c r="E1196" s="69"/>
      <c r="F1196" s="69"/>
      <c r="G1196" s="69"/>
      <c r="I1196" s="70"/>
      <c r="J1196" s="70"/>
      <c r="K1196" s="70"/>
      <c r="L1196" s="70"/>
      <c r="M1196" s="70"/>
      <c r="N1196" s="70"/>
      <c r="P1196" s="71"/>
    </row>
    <row r="1197" spans="2:16" x14ac:dyDescent="0.2">
      <c r="B1197" s="68"/>
      <c r="C1197" s="69"/>
      <c r="D1197" s="69"/>
      <c r="E1197" s="69"/>
      <c r="F1197" s="69"/>
      <c r="G1197" s="69"/>
      <c r="I1197" s="70"/>
      <c r="J1197" s="70"/>
      <c r="K1197" s="70"/>
      <c r="L1197" s="70"/>
      <c r="M1197" s="70"/>
      <c r="N1197" s="70"/>
      <c r="P1197" s="71"/>
    </row>
    <row r="1198" spans="2:16" x14ac:dyDescent="0.2">
      <c r="B1198" s="68"/>
      <c r="C1198" s="69"/>
      <c r="D1198" s="69"/>
      <c r="E1198" s="69"/>
      <c r="F1198" s="69"/>
      <c r="G1198" s="69"/>
      <c r="I1198" s="70"/>
      <c r="J1198" s="70"/>
      <c r="K1198" s="70"/>
      <c r="L1198" s="70"/>
      <c r="M1198" s="70"/>
      <c r="N1198" s="70"/>
      <c r="P1198" s="71"/>
    </row>
    <row r="1199" spans="2:16" x14ac:dyDescent="0.2">
      <c r="B1199" s="68"/>
      <c r="C1199" s="69"/>
      <c r="D1199" s="69"/>
      <c r="E1199" s="69"/>
      <c r="F1199" s="69"/>
      <c r="G1199" s="69"/>
      <c r="I1199" s="70"/>
      <c r="J1199" s="70"/>
      <c r="K1199" s="70"/>
      <c r="L1199" s="70"/>
      <c r="M1199" s="70"/>
      <c r="N1199" s="70"/>
      <c r="P1199" s="71"/>
    </row>
    <row r="1200" spans="2:16" x14ac:dyDescent="0.2">
      <c r="B1200" s="68"/>
      <c r="C1200" s="69"/>
      <c r="D1200" s="69"/>
      <c r="E1200" s="69"/>
      <c r="F1200" s="69"/>
      <c r="G1200" s="69"/>
      <c r="I1200" s="70"/>
      <c r="J1200" s="70"/>
      <c r="K1200" s="70"/>
      <c r="L1200" s="70"/>
      <c r="M1200" s="70"/>
      <c r="N1200" s="70"/>
      <c r="P1200" s="71"/>
    </row>
    <row r="1201" spans="2:16" x14ac:dyDescent="0.2">
      <c r="B1201" s="68"/>
      <c r="C1201" s="69"/>
      <c r="D1201" s="69"/>
      <c r="E1201" s="69"/>
      <c r="F1201" s="69"/>
      <c r="G1201" s="69"/>
      <c r="I1201" s="70"/>
      <c r="J1201" s="70"/>
      <c r="K1201" s="70"/>
      <c r="L1201" s="70"/>
      <c r="M1201" s="70"/>
      <c r="N1201" s="70"/>
      <c r="P1201" s="71"/>
    </row>
    <row r="1202" spans="2:16" x14ac:dyDescent="0.2">
      <c r="B1202" s="68"/>
      <c r="C1202" s="69"/>
      <c r="D1202" s="69"/>
      <c r="E1202" s="69"/>
      <c r="F1202" s="69"/>
      <c r="G1202" s="69"/>
      <c r="I1202" s="70"/>
      <c r="J1202" s="70"/>
      <c r="K1202" s="70"/>
      <c r="L1202" s="70"/>
      <c r="M1202" s="70"/>
      <c r="N1202" s="70"/>
      <c r="P1202" s="71"/>
    </row>
    <row r="1203" spans="2:16" x14ac:dyDescent="0.2">
      <c r="B1203" s="68"/>
      <c r="C1203" s="69"/>
      <c r="D1203" s="69"/>
      <c r="E1203" s="69"/>
      <c r="F1203" s="69"/>
      <c r="G1203" s="69"/>
      <c r="I1203" s="70"/>
      <c r="J1203" s="70"/>
      <c r="K1203" s="70"/>
      <c r="L1203" s="70"/>
      <c r="M1203" s="70"/>
      <c r="N1203" s="70"/>
      <c r="P1203" s="71"/>
    </row>
    <row r="1204" spans="2:16" x14ac:dyDescent="0.2">
      <c r="B1204" s="68"/>
      <c r="C1204" s="69"/>
      <c r="D1204" s="69"/>
      <c r="E1204" s="69"/>
      <c r="F1204" s="69"/>
      <c r="G1204" s="69"/>
      <c r="I1204" s="70"/>
      <c r="J1204" s="70"/>
      <c r="K1204" s="70"/>
      <c r="L1204" s="70"/>
      <c r="M1204" s="70"/>
      <c r="N1204" s="70"/>
      <c r="P1204" s="71"/>
    </row>
    <row r="1205" spans="2:16" x14ac:dyDescent="0.2">
      <c r="B1205" s="68"/>
      <c r="C1205" s="69"/>
      <c r="D1205" s="69"/>
      <c r="E1205" s="69"/>
      <c r="F1205" s="69"/>
      <c r="G1205" s="69"/>
      <c r="I1205" s="70"/>
      <c r="J1205" s="70"/>
      <c r="K1205" s="70"/>
      <c r="L1205" s="70"/>
      <c r="M1205" s="70"/>
      <c r="N1205" s="70"/>
      <c r="P1205" s="71"/>
    </row>
    <row r="1206" spans="2:16" x14ac:dyDescent="0.2">
      <c r="B1206" s="68"/>
      <c r="C1206" s="69"/>
      <c r="D1206" s="69"/>
      <c r="E1206" s="69"/>
      <c r="F1206" s="69"/>
      <c r="G1206" s="69"/>
      <c r="I1206" s="70"/>
      <c r="J1206" s="70"/>
      <c r="K1206" s="70"/>
      <c r="L1206" s="70"/>
      <c r="M1206" s="70"/>
      <c r="N1206" s="70"/>
      <c r="P1206" s="71"/>
    </row>
    <row r="1207" spans="2:16" x14ac:dyDescent="0.2">
      <c r="B1207" s="68"/>
      <c r="C1207" s="69"/>
      <c r="D1207" s="69"/>
      <c r="E1207" s="69"/>
      <c r="F1207" s="69"/>
      <c r="G1207" s="69"/>
      <c r="I1207" s="70"/>
      <c r="J1207" s="70"/>
      <c r="K1207" s="70"/>
      <c r="L1207" s="70"/>
      <c r="M1207" s="70"/>
      <c r="N1207" s="70"/>
      <c r="P1207" s="71"/>
    </row>
    <row r="1208" spans="2:16" x14ac:dyDescent="0.2">
      <c r="B1208" s="68"/>
      <c r="C1208" s="69"/>
      <c r="D1208" s="69"/>
      <c r="E1208" s="69"/>
      <c r="F1208" s="69"/>
      <c r="G1208" s="69"/>
      <c r="I1208" s="70"/>
      <c r="J1208" s="70"/>
      <c r="K1208" s="70"/>
      <c r="L1208" s="70"/>
      <c r="M1208" s="70"/>
      <c r="N1208" s="70"/>
      <c r="P1208" s="71"/>
    </row>
    <row r="1209" spans="2:16" x14ac:dyDescent="0.2">
      <c r="B1209" s="68"/>
      <c r="C1209" s="69"/>
      <c r="D1209" s="69"/>
      <c r="E1209" s="69"/>
      <c r="F1209" s="69"/>
      <c r="G1209" s="69"/>
      <c r="I1209" s="70"/>
      <c r="J1209" s="70"/>
      <c r="K1209" s="70"/>
      <c r="L1209" s="70"/>
      <c r="M1209" s="70"/>
      <c r="N1209" s="70"/>
      <c r="P1209" s="71"/>
    </row>
    <row r="1210" spans="2:16" x14ac:dyDescent="0.2">
      <c r="B1210" s="68"/>
      <c r="C1210" s="69"/>
      <c r="D1210" s="69"/>
      <c r="E1210" s="69"/>
      <c r="F1210" s="69"/>
      <c r="G1210" s="69"/>
      <c r="I1210" s="70"/>
      <c r="J1210" s="70"/>
      <c r="K1210" s="70"/>
      <c r="L1210" s="70"/>
      <c r="M1210" s="70"/>
      <c r="N1210" s="70"/>
      <c r="P1210" s="71"/>
    </row>
    <row r="1211" spans="2:16" x14ac:dyDescent="0.2">
      <c r="B1211" s="68"/>
      <c r="C1211" s="69"/>
      <c r="D1211" s="69"/>
      <c r="E1211" s="69"/>
      <c r="F1211" s="69"/>
      <c r="G1211" s="69"/>
      <c r="I1211" s="70"/>
      <c r="J1211" s="70"/>
      <c r="K1211" s="70"/>
      <c r="L1211" s="70"/>
      <c r="M1211" s="70"/>
      <c r="N1211" s="70"/>
      <c r="P1211" s="71"/>
    </row>
    <row r="1212" spans="2:16" x14ac:dyDescent="0.2">
      <c r="B1212" s="68"/>
      <c r="C1212" s="69"/>
      <c r="D1212" s="69"/>
      <c r="E1212" s="69"/>
      <c r="F1212" s="69"/>
      <c r="G1212" s="69"/>
      <c r="I1212" s="70"/>
      <c r="J1212" s="70"/>
      <c r="K1212" s="70"/>
      <c r="L1212" s="70"/>
      <c r="M1212" s="70"/>
      <c r="N1212" s="70"/>
      <c r="P1212" s="71"/>
    </row>
    <row r="1213" spans="2:16" x14ac:dyDescent="0.2">
      <c r="B1213" s="68"/>
      <c r="C1213" s="69"/>
      <c r="D1213" s="69"/>
      <c r="E1213" s="69"/>
      <c r="F1213" s="69"/>
      <c r="G1213" s="69"/>
      <c r="I1213" s="70"/>
      <c r="J1213" s="70"/>
      <c r="K1213" s="70"/>
      <c r="L1213" s="70"/>
      <c r="M1213" s="70"/>
      <c r="N1213" s="70"/>
      <c r="P1213" s="71"/>
    </row>
    <row r="1214" spans="2:16" x14ac:dyDescent="0.2">
      <c r="B1214" s="68"/>
      <c r="C1214" s="69"/>
      <c r="D1214" s="69"/>
      <c r="E1214" s="69"/>
      <c r="F1214" s="69"/>
      <c r="G1214" s="69"/>
      <c r="I1214" s="70"/>
      <c r="J1214" s="70"/>
      <c r="K1214" s="70"/>
      <c r="L1214" s="70"/>
      <c r="M1214" s="70"/>
      <c r="N1214" s="70"/>
      <c r="P1214" s="71"/>
    </row>
    <row r="1215" spans="2:16" x14ac:dyDescent="0.2">
      <c r="B1215" s="68"/>
      <c r="C1215" s="69"/>
      <c r="D1215" s="69"/>
      <c r="E1215" s="69"/>
      <c r="F1215" s="69"/>
      <c r="G1215" s="69"/>
      <c r="I1215" s="70"/>
      <c r="J1215" s="70"/>
      <c r="K1215" s="70"/>
      <c r="L1215" s="70"/>
      <c r="M1215" s="70"/>
      <c r="N1215" s="70"/>
      <c r="P1215" s="71"/>
    </row>
    <row r="1216" spans="2:16" x14ac:dyDescent="0.2">
      <c r="B1216" s="68"/>
      <c r="C1216" s="69"/>
      <c r="D1216" s="69"/>
      <c r="E1216" s="69"/>
      <c r="F1216" s="69"/>
      <c r="G1216" s="69"/>
      <c r="I1216" s="70"/>
      <c r="J1216" s="70"/>
      <c r="K1216" s="70"/>
      <c r="L1216" s="70"/>
      <c r="M1216" s="70"/>
      <c r="N1216" s="70"/>
      <c r="P1216" s="71"/>
    </row>
    <row r="1217" spans="2:16" x14ac:dyDescent="0.2">
      <c r="B1217" s="68"/>
      <c r="C1217" s="69"/>
      <c r="D1217" s="69"/>
      <c r="E1217" s="69"/>
      <c r="F1217" s="69"/>
      <c r="G1217" s="69"/>
      <c r="I1217" s="70"/>
      <c r="J1217" s="70"/>
      <c r="K1217" s="70"/>
      <c r="L1217" s="70"/>
      <c r="M1217" s="70"/>
      <c r="N1217" s="70"/>
      <c r="P1217" s="71"/>
    </row>
    <row r="1218" spans="2:16" x14ac:dyDescent="0.2">
      <c r="B1218" s="68"/>
      <c r="C1218" s="69"/>
      <c r="D1218" s="69"/>
      <c r="E1218" s="69"/>
      <c r="F1218" s="69"/>
      <c r="G1218" s="69"/>
      <c r="I1218" s="70"/>
      <c r="J1218" s="70"/>
      <c r="K1218" s="70"/>
      <c r="L1218" s="70"/>
      <c r="M1218" s="70"/>
      <c r="N1218" s="70"/>
      <c r="P1218" s="71"/>
    </row>
    <row r="1219" spans="2:16" x14ac:dyDescent="0.2">
      <c r="B1219" s="68"/>
      <c r="C1219" s="69"/>
      <c r="D1219" s="69"/>
      <c r="E1219" s="69"/>
      <c r="F1219" s="69"/>
      <c r="G1219" s="69"/>
      <c r="I1219" s="70"/>
      <c r="J1219" s="70"/>
      <c r="K1219" s="70"/>
      <c r="L1219" s="70"/>
      <c r="M1219" s="70"/>
      <c r="N1219" s="70"/>
      <c r="P1219" s="71"/>
    </row>
    <row r="1220" spans="2:16" x14ac:dyDescent="0.2">
      <c r="B1220" s="68"/>
      <c r="C1220" s="69"/>
      <c r="D1220" s="69"/>
      <c r="E1220" s="69"/>
      <c r="F1220" s="69"/>
      <c r="G1220" s="69"/>
      <c r="I1220" s="70"/>
      <c r="J1220" s="70"/>
      <c r="K1220" s="70"/>
      <c r="L1220" s="70"/>
      <c r="M1220" s="70"/>
      <c r="N1220" s="70"/>
      <c r="P1220" s="71"/>
    </row>
    <row r="1221" spans="2:16" x14ac:dyDescent="0.2">
      <c r="B1221" s="68"/>
      <c r="C1221" s="69"/>
      <c r="D1221" s="69"/>
      <c r="E1221" s="69"/>
      <c r="F1221" s="69"/>
      <c r="G1221" s="69"/>
      <c r="I1221" s="70"/>
      <c r="J1221" s="70"/>
      <c r="K1221" s="70"/>
      <c r="L1221" s="70"/>
      <c r="M1221" s="70"/>
      <c r="N1221" s="70"/>
      <c r="P1221" s="71"/>
    </row>
    <row r="1222" spans="2:16" x14ac:dyDescent="0.2">
      <c r="B1222" s="68"/>
      <c r="C1222" s="69"/>
      <c r="D1222" s="69"/>
      <c r="E1222" s="69"/>
      <c r="F1222" s="69"/>
      <c r="G1222" s="69"/>
      <c r="I1222" s="70"/>
      <c r="J1222" s="70"/>
      <c r="K1222" s="70"/>
      <c r="L1222" s="70"/>
      <c r="M1222" s="70"/>
      <c r="N1222" s="70"/>
      <c r="P1222" s="71"/>
    </row>
    <row r="1223" spans="2:16" x14ac:dyDescent="0.2">
      <c r="B1223" s="68"/>
      <c r="C1223" s="69"/>
      <c r="D1223" s="69"/>
      <c r="E1223" s="69"/>
      <c r="F1223" s="69"/>
      <c r="G1223" s="69"/>
      <c r="I1223" s="70"/>
      <c r="J1223" s="70"/>
      <c r="K1223" s="70"/>
      <c r="L1223" s="70"/>
      <c r="M1223" s="70"/>
      <c r="N1223" s="70"/>
      <c r="P1223" s="71"/>
    </row>
    <row r="1224" spans="2:16" x14ac:dyDescent="0.2">
      <c r="B1224" s="68"/>
      <c r="C1224" s="69"/>
      <c r="D1224" s="69"/>
      <c r="E1224" s="69"/>
      <c r="F1224" s="69"/>
      <c r="G1224" s="69"/>
      <c r="I1224" s="70"/>
      <c r="J1224" s="70"/>
      <c r="K1224" s="70"/>
      <c r="L1224" s="70"/>
      <c r="M1224" s="70"/>
      <c r="N1224" s="70"/>
      <c r="P1224" s="71"/>
    </row>
    <row r="1225" spans="2:16" x14ac:dyDescent="0.2">
      <c r="B1225" s="68"/>
      <c r="C1225" s="69"/>
      <c r="D1225" s="69"/>
      <c r="E1225" s="69"/>
      <c r="F1225" s="69"/>
      <c r="G1225" s="69"/>
      <c r="I1225" s="70"/>
      <c r="J1225" s="70"/>
      <c r="K1225" s="70"/>
      <c r="L1225" s="70"/>
      <c r="M1225" s="70"/>
      <c r="N1225" s="70"/>
      <c r="P1225" s="71"/>
    </row>
    <row r="1226" spans="2:16" x14ac:dyDescent="0.2">
      <c r="B1226" s="68"/>
      <c r="C1226" s="69"/>
      <c r="D1226" s="69"/>
      <c r="E1226" s="69"/>
      <c r="F1226" s="69"/>
      <c r="G1226" s="69"/>
      <c r="I1226" s="70"/>
      <c r="J1226" s="70"/>
      <c r="K1226" s="70"/>
      <c r="L1226" s="70"/>
      <c r="M1226" s="70"/>
      <c r="N1226" s="70"/>
      <c r="P1226" s="71"/>
    </row>
    <row r="1227" spans="2:16" x14ac:dyDescent="0.2">
      <c r="B1227" s="68"/>
      <c r="C1227" s="69"/>
      <c r="D1227" s="69"/>
      <c r="E1227" s="69"/>
      <c r="F1227" s="69"/>
      <c r="G1227" s="69"/>
      <c r="I1227" s="70"/>
      <c r="J1227" s="70"/>
      <c r="K1227" s="70"/>
      <c r="L1227" s="70"/>
      <c r="M1227" s="70"/>
      <c r="N1227" s="70"/>
      <c r="P1227" s="71"/>
    </row>
    <row r="1228" spans="2:16" x14ac:dyDescent="0.2">
      <c r="B1228" s="68"/>
      <c r="C1228" s="69"/>
      <c r="D1228" s="69"/>
      <c r="E1228" s="69"/>
      <c r="F1228" s="69"/>
      <c r="G1228" s="69"/>
      <c r="I1228" s="70"/>
      <c r="J1228" s="70"/>
      <c r="K1228" s="70"/>
      <c r="L1228" s="70"/>
      <c r="M1228" s="70"/>
      <c r="N1228" s="70"/>
      <c r="P1228" s="71"/>
    </row>
    <row r="1229" spans="2:16" x14ac:dyDescent="0.2">
      <c r="B1229" s="68"/>
      <c r="C1229" s="69"/>
      <c r="D1229" s="69"/>
      <c r="E1229" s="69"/>
      <c r="F1229" s="69"/>
      <c r="G1229" s="69"/>
      <c r="I1229" s="70"/>
      <c r="J1229" s="70"/>
      <c r="K1229" s="70"/>
      <c r="L1229" s="70"/>
      <c r="M1229" s="70"/>
      <c r="N1229" s="70"/>
      <c r="P1229" s="71"/>
    </row>
    <row r="1230" spans="2:16" x14ac:dyDescent="0.2">
      <c r="B1230" s="68"/>
      <c r="C1230" s="69"/>
      <c r="D1230" s="69"/>
      <c r="E1230" s="69"/>
      <c r="F1230" s="69"/>
      <c r="G1230" s="69"/>
      <c r="I1230" s="70"/>
      <c r="J1230" s="70"/>
      <c r="K1230" s="70"/>
      <c r="L1230" s="70"/>
      <c r="M1230" s="70"/>
      <c r="N1230" s="70"/>
      <c r="P1230" s="71"/>
    </row>
    <row r="1231" spans="2:16" x14ac:dyDescent="0.2">
      <c r="B1231" s="68"/>
      <c r="C1231" s="69"/>
      <c r="D1231" s="69"/>
      <c r="E1231" s="69"/>
      <c r="F1231" s="69"/>
      <c r="G1231" s="69"/>
      <c r="I1231" s="70"/>
      <c r="J1231" s="70"/>
      <c r="K1231" s="70"/>
      <c r="L1231" s="70"/>
      <c r="M1231" s="70"/>
      <c r="N1231" s="70"/>
      <c r="P1231" s="71"/>
    </row>
    <row r="1232" spans="2:16" x14ac:dyDescent="0.2">
      <c r="B1232" s="68"/>
      <c r="C1232" s="69"/>
      <c r="D1232" s="69"/>
      <c r="E1232" s="69"/>
      <c r="F1232" s="69"/>
      <c r="G1232" s="69"/>
      <c r="I1232" s="70"/>
      <c r="J1232" s="70"/>
      <c r="K1232" s="70"/>
      <c r="L1232" s="70"/>
      <c r="M1232" s="70"/>
      <c r="N1232" s="70"/>
      <c r="P1232" s="71"/>
    </row>
    <row r="1233" spans="2:16" x14ac:dyDescent="0.2">
      <c r="B1233" s="68"/>
      <c r="C1233" s="69"/>
      <c r="D1233" s="69"/>
      <c r="E1233" s="69"/>
      <c r="F1233" s="69"/>
      <c r="G1233" s="69"/>
      <c r="I1233" s="70"/>
      <c r="J1233" s="70"/>
      <c r="K1233" s="70"/>
      <c r="L1233" s="70"/>
      <c r="M1233" s="70"/>
      <c r="N1233" s="70"/>
      <c r="P1233" s="71"/>
    </row>
    <row r="1234" spans="2:16" x14ac:dyDescent="0.2">
      <c r="B1234" s="68"/>
      <c r="C1234" s="69"/>
      <c r="D1234" s="69"/>
      <c r="E1234" s="69"/>
      <c r="F1234" s="69"/>
      <c r="G1234" s="69"/>
      <c r="I1234" s="70"/>
      <c r="J1234" s="70"/>
      <c r="K1234" s="70"/>
      <c r="L1234" s="70"/>
      <c r="M1234" s="70"/>
      <c r="N1234" s="70"/>
      <c r="P1234" s="71"/>
    </row>
    <row r="1235" spans="2:16" x14ac:dyDescent="0.2">
      <c r="B1235" s="68"/>
      <c r="C1235" s="69"/>
      <c r="D1235" s="69"/>
      <c r="E1235" s="69"/>
      <c r="F1235" s="69"/>
      <c r="G1235" s="69"/>
      <c r="I1235" s="70"/>
      <c r="J1235" s="70"/>
      <c r="K1235" s="70"/>
      <c r="L1235" s="70"/>
      <c r="M1235" s="70"/>
      <c r="N1235" s="70"/>
      <c r="P1235" s="71"/>
    </row>
    <row r="1236" spans="2:16" x14ac:dyDescent="0.2">
      <c r="B1236" s="68"/>
      <c r="C1236" s="69"/>
      <c r="D1236" s="69"/>
      <c r="E1236" s="69"/>
      <c r="F1236" s="69"/>
      <c r="G1236" s="69"/>
      <c r="I1236" s="70"/>
      <c r="J1236" s="70"/>
      <c r="K1236" s="70"/>
      <c r="L1236" s="70"/>
      <c r="M1236" s="70"/>
      <c r="N1236" s="70"/>
      <c r="P1236" s="71"/>
    </row>
    <row r="1237" spans="2:16" x14ac:dyDescent="0.2">
      <c r="B1237" s="68"/>
      <c r="C1237" s="69"/>
      <c r="D1237" s="69"/>
      <c r="E1237" s="69"/>
      <c r="F1237" s="69"/>
      <c r="G1237" s="69"/>
      <c r="I1237" s="70"/>
      <c r="J1237" s="70"/>
      <c r="K1237" s="70"/>
      <c r="L1237" s="70"/>
      <c r="M1237" s="70"/>
      <c r="N1237" s="70"/>
      <c r="P1237" s="71"/>
    </row>
    <row r="1238" spans="2:16" x14ac:dyDescent="0.2">
      <c r="B1238" s="68"/>
      <c r="C1238" s="69"/>
      <c r="D1238" s="69"/>
      <c r="E1238" s="69"/>
      <c r="F1238" s="69"/>
      <c r="G1238" s="69"/>
      <c r="I1238" s="70"/>
      <c r="J1238" s="70"/>
      <c r="K1238" s="70"/>
      <c r="L1238" s="70"/>
      <c r="M1238" s="70"/>
      <c r="N1238" s="70"/>
      <c r="P1238" s="71"/>
    </row>
    <row r="1239" spans="2:16" ht="15" x14ac:dyDescent="0.2">
      <c r="G1239" s="72"/>
      <c r="I1239" s="70"/>
      <c r="J1239" s="70"/>
      <c r="K1239" s="70"/>
      <c r="L1239" s="70"/>
      <c r="M1239" s="70"/>
      <c r="N1239" s="70"/>
      <c r="P1239" s="71"/>
    </row>
    <row r="1240" spans="2:16" ht="15" x14ac:dyDescent="0.2">
      <c r="G1240" s="72"/>
      <c r="I1240" s="70"/>
      <c r="J1240" s="70"/>
      <c r="K1240" s="70"/>
      <c r="L1240" s="70"/>
      <c r="M1240" s="70"/>
      <c r="N1240" s="70"/>
      <c r="P1240" s="71"/>
    </row>
    <row r="1241" spans="2:16" ht="15" x14ac:dyDescent="0.2">
      <c r="G1241" s="72"/>
      <c r="I1241" s="70"/>
      <c r="J1241" s="70"/>
      <c r="K1241" s="70"/>
      <c r="L1241" s="70"/>
      <c r="M1241" s="70"/>
      <c r="N1241" s="70"/>
      <c r="P1241" s="71"/>
    </row>
    <row r="1242" spans="2:16" ht="15" x14ac:dyDescent="0.2">
      <c r="G1242" s="72"/>
      <c r="I1242" s="70"/>
      <c r="J1242" s="70"/>
      <c r="K1242" s="70"/>
      <c r="L1242" s="70"/>
      <c r="M1242" s="70"/>
      <c r="N1242" s="70"/>
      <c r="P1242" s="71"/>
    </row>
    <row r="1243" spans="2:16" ht="15" x14ac:dyDescent="0.2">
      <c r="G1243" s="72"/>
      <c r="I1243" s="70"/>
      <c r="J1243" s="70"/>
      <c r="K1243" s="70"/>
      <c r="L1243" s="70"/>
      <c r="M1243" s="70"/>
      <c r="N1243" s="70"/>
      <c r="P1243" s="71"/>
    </row>
    <row r="1244" spans="2:16" ht="15" x14ac:dyDescent="0.2">
      <c r="G1244" s="72"/>
      <c r="I1244" s="70"/>
      <c r="J1244" s="70"/>
      <c r="K1244" s="70"/>
      <c r="L1244" s="70"/>
      <c r="M1244" s="70"/>
      <c r="N1244" s="70"/>
      <c r="P1244" s="71"/>
    </row>
    <row r="1245" spans="2:16" ht="15" x14ac:dyDescent="0.2">
      <c r="G1245" s="72"/>
      <c r="I1245" s="70"/>
      <c r="J1245" s="70"/>
      <c r="K1245" s="70"/>
      <c r="L1245" s="70"/>
      <c r="M1245" s="70"/>
      <c r="N1245" s="70"/>
      <c r="P1245" s="71"/>
    </row>
    <row r="1246" spans="2:16" ht="15" x14ac:dyDescent="0.2">
      <c r="G1246" s="72"/>
      <c r="I1246" s="70"/>
      <c r="J1246" s="70"/>
      <c r="K1246" s="70"/>
      <c r="L1246" s="70"/>
      <c r="M1246" s="70"/>
      <c r="N1246" s="70"/>
      <c r="P1246" s="71"/>
    </row>
    <row r="1247" spans="2:16" ht="15" x14ac:dyDescent="0.2">
      <c r="G1247" s="73"/>
      <c r="I1247" s="70"/>
      <c r="J1247" s="70"/>
      <c r="K1247" s="70"/>
      <c r="L1247" s="70"/>
      <c r="M1247" s="70"/>
      <c r="N1247" s="70"/>
      <c r="P1247" s="71"/>
    </row>
    <row r="1248" spans="2:16" ht="15" x14ac:dyDescent="0.2">
      <c r="G1248" s="72"/>
      <c r="I1248" s="70"/>
      <c r="J1248" s="70"/>
      <c r="K1248" s="70"/>
      <c r="L1248" s="70"/>
      <c r="M1248" s="70"/>
      <c r="N1248" s="70"/>
      <c r="P1248" s="71"/>
    </row>
    <row r="1249" spans="7:16" ht="15" x14ac:dyDescent="0.2">
      <c r="G1249" s="72"/>
      <c r="I1249" s="70"/>
      <c r="J1249" s="70"/>
      <c r="K1249" s="70"/>
      <c r="L1249" s="70"/>
      <c r="M1249" s="70"/>
      <c r="N1249" s="70"/>
      <c r="P1249" s="71"/>
    </row>
    <row r="1250" spans="7:16" ht="15" x14ac:dyDescent="0.2">
      <c r="G1250" s="72"/>
      <c r="I1250" s="70"/>
      <c r="J1250" s="70"/>
      <c r="K1250" s="70"/>
      <c r="L1250" s="70"/>
      <c r="M1250" s="70"/>
      <c r="N1250" s="70"/>
      <c r="P1250" s="71"/>
    </row>
    <row r="1251" spans="7:16" ht="15" x14ac:dyDescent="0.2">
      <c r="G1251" s="72"/>
      <c r="I1251" s="70"/>
      <c r="J1251" s="70"/>
      <c r="K1251" s="70"/>
      <c r="L1251" s="70"/>
      <c r="M1251" s="70"/>
      <c r="N1251" s="70"/>
      <c r="P1251" s="71"/>
    </row>
    <row r="1252" spans="7:16" ht="15" x14ac:dyDescent="0.2">
      <c r="G1252" s="72"/>
      <c r="I1252" s="70"/>
      <c r="J1252" s="70"/>
      <c r="K1252" s="70"/>
      <c r="L1252" s="70"/>
      <c r="M1252" s="70"/>
      <c r="N1252" s="70"/>
      <c r="P1252" s="71"/>
    </row>
    <row r="1253" spans="7:16" ht="15" x14ac:dyDescent="0.2">
      <c r="G1253" s="72"/>
      <c r="I1253" s="70"/>
      <c r="J1253" s="70"/>
      <c r="K1253" s="70"/>
      <c r="L1253" s="70"/>
      <c r="M1253" s="70"/>
      <c r="N1253" s="70"/>
    </row>
    <row r="1254" spans="7:16" ht="15" x14ac:dyDescent="0.2">
      <c r="G1254" s="72"/>
    </row>
    <row r="1255" spans="7:16" ht="15" x14ac:dyDescent="0.2">
      <c r="G1255" s="72"/>
    </row>
    <row r="1256" spans="7:16" ht="15" x14ac:dyDescent="0.2">
      <c r="G1256" s="72"/>
    </row>
    <row r="1257" spans="7:16" ht="15" x14ac:dyDescent="0.2">
      <c r="G1257" s="72"/>
    </row>
    <row r="1258" spans="7:16" ht="15" x14ac:dyDescent="0.2">
      <c r="G1258" s="72"/>
    </row>
    <row r="1259" spans="7:16" ht="15" x14ac:dyDescent="0.2">
      <c r="G1259" s="72"/>
    </row>
    <row r="1260" spans="7:16" ht="15" x14ac:dyDescent="0.2">
      <c r="G1260" s="72"/>
    </row>
    <row r="1261" spans="7:16" ht="15" x14ac:dyDescent="0.2">
      <c r="G1261" s="72"/>
    </row>
    <row r="1262" spans="7:16" ht="15" x14ac:dyDescent="0.2">
      <c r="G1262" s="72"/>
    </row>
    <row r="1263" spans="7:16" ht="15" x14ac:dyDescent="0.2">
      <c r="G1263" s="72"/>
    </row>
    <row r="1264" spans="7:16" ht="15" x14ac:dyDescent="0.2">
      <c r="G1264" s="72"/>
    </row>
    <row r="1265" spans="7:7" ht="15" x14ac:dyDescent="0.2">
      <c r="G1265" s="72"/>
    </row>
    <row r="1266" spans="7:7" ht="15" x14ac:dyDescent="0.2">
      <c r="G1266" s="72"/>
    </row>
    <row r="1267" spans="7:7" ht="15" x14ac:dyDescent="0.2">
      <c r="G1267" s="72"/>
    </row>
    <row r="1268" spans="7:7" ht="15" x14ac:dyDescent="0.2">
      <c r="G1268" s="73"/>
    </row>
    <row r="1269" spans="7:7" ht="15" x14ac:dyDescent="0.2">
      <c r="G1269" s="72"/>
    </row>
    <row r="1270" spans="7:7" ht="15" x14ac:dyDescent="0.2">
      <c r="G1270" s="72"/>
    </row>
    <row r="1271" spans="7:7" ht="15" x14ac:dyDescent="0.2">
      <c r="G1271" s="72"/>
    </row>
    <row r="1272" spans="7:7" ht="15" x14ac:dyDescent="0.2">
      <c r="G1272" s="72"/>
    </row>
    <row r="1273" spans="7:7" ht="15" x14ac:dyDescent="0.2">
      <c r="G1273" s="72"/>
    </row>
    <row r="1274" spans="7:7" ht="15" x14ac:dyDescent="0.2">
      <c r="G1274" s="72"/>
    </row>
    <row r="1275" spans="7:7" ht="15" x14ac:dyDescent="0.2">
      <c r="G1275" s="72"/>
    </row>
    <row r="1276" spans="7:7" ht="15" x14ac:dyDescent="0.2">
      <c r="G1276" s="72"/>
    </row>
    <row r="1277" spans="7:7" ht="15" x14ac:dyDescent="0.2">
      <c r="G1277" s="72"/>
    </row>
    <row r="1278" spans="7:7" ht="15" x14ac:dyDescent="0.2">
      <c r="G1278" s="72"/>
    </row>
    <row r="1279" spans="7:7" ht="15" x14ac:dyDescent="0.2">
      <c r="G1279" s="72"/>
    </row>
    <row r="1280" spans="7:7" ht="15" x14ac:dyDescent="0.2">
      <c r="G1280" s="72"/>
    </row>
    <row r="1281" spans="7:7" ht="15" x14ac:dyDescent="0.2">
      <c r="G1281" s="72"/>
    </row>
    <row r="1282" spans="7:7" ht="15" x14ac:dyDescent="0.2">
      <c r="G1282" s="72"/>
    </row>
    <row r="1283" spans="7:7" ht="15" x14ac:dyDescent="0.2">
      <c r="G1283" s="72"/>
    </row>
    <row r="1284" spans="7:7" ht="15" x14ac:dyDescent="0.2">
      <c r="G1284" s="72"/>
    </row>
    <row r="1285" spans="7:7" ht="15" x14ac:dyDescent="0.2">
      <c r="G1285" s="72"/>
    </row>
    <row r="1286" spans="7:7" ht="15" x14ac:dyDescent="0.2">
      <c r="G1286" s="72"/>
    </row>
    <row r="1287" spans="7:7" ht="15" x14ac:dyDescent="0.2">
      <c r="G1287" s="72"/>
    </row>
    <row r="1288" spans="7:7" ht="15" x14ac:dyDescent="0.2">
      <c r="G1288" s="72"/>
    </row>
    <row r="1289" spans="7:7" ht="15" x14ac:dyDescent="0.2">
      <c r="G1289" s="72"/>
    </row>
    <row r="1290" spans="7:7" ht="15" x14ac:dyDescent="0.2">
      <c r="G1290" s="72"/>
    </row>
    <row r="1291" spans="7:7" ht="15" x14ac:dyDescent="0.2">
      <c r="G1291" s="72"/>
    </row>
    <row r="1292" spans="7:7" ht="15" x14ac:dyDescent="0.2">
      <c r="G1292" s="72"/>
    </row>
    <row r="1293" spans="7:7" ht="15" x14ac:dyDescent="0.2">
      <c r="G1293" s="72"/>
    </row>
    <row r="1294" spans="7:7" ht="15" x14ac:dyDescent="0.2">
      <c r="G1294" s="72"/>
    </row>
    <row r="1295" spans="7:7" ht="15" x14ac:dyDescent="0.2">
      <c r="G1295" s="72"/>
    </row>
    <row r="1296" spans="7:7" ht="15" x14ac:dyDescent="0.2">
      <c r="G1296" s="72"/>
    </row>
    <row r="1297" spans="7:7" ht="15" x14ac:dyDescent="0.2">
      <c r="G1297" s="72"/>
    </row>
    <row r="1298" spans="7:7" ht="15" x14ac:dyDescent="0.2">
      <c r="G1298" s="72"/>
    </row>
    <row r="1299" spans="7:7" ht="15" x14ac:dyDescent="0.2">
      <c r="G1299" s="72"/>
    </row>
    <row r="1300" spans="7:7" ht="15" x14ac:dyDescent="0.2">
      <c r="G1300" s="72"/>
    </row>
    <row r="1301" spans="7:7" ht="15" x14ac:dyDescent="0.2">
      <c r="G1301" s="72"/>
    </row>
    <row r="1302" spans="7:7" ht="15" x14ac:dyDescent="0.2">
      <c r="G1302" s="72"/>
    </row>
    <row r="1303" spans="7:7" ht="15" x14ac:dyDescent="0.2">
      <c r="G1303" s="72"/>
    </row>
    <row r="1304" spans="7:7" ht="15" x14ac:dyDescent="0.2">
      <c r="G1304" s="72"/>
    </row>
    <row r="1305" spans="7:7" ht="15" x14ac:dyDescent="0.2">
      <c r="G1305" s="72"/>
    </row>
    <row r="1306" spans="7:7" ht="15" x14ac:dyDescent="0.2">
      <c r="G1306" s="72"/>
    </row>
    <row r="1307" spans="7:7" ht="15" x14ac:dyDescent="0.2">
      <c r="G1307" s="72"/>
    </row>
    <row r="1308" spans="7:7" ht="15" x14ac:dyDescent="0.2">
      <c r="G1308" s="72"/>
    </row>
    <row r="1309" spans="7:7" ht="15" x14ac:dyDescent="0.2">
      <c r="G1309" s="72"/>
    </row>
    <row r="1310" spans="7:7" ht="15" x14ac:dyDescent="0.2">
      <c r="G1310" s="72"/>
    </row>
    <row r="1311" spans="7:7" ht="15" x14ac:dyDescent="0.2">
      <c r="G1311" s="72"/>
    </row>
    <row r="1312" spans="7:7" ht="15" x14ac:dyDescent="0.2">
      <c r="G1312" s="72"/>
    </row>
    <row r="1313" spans="7:7" ht="15" x14ac:dyDescent="0.2">
      <c r="G1313" s="72"/>
    </row>
    <row r="1314" spans="7:7" ht="15" x14ac:dyDescent="0.2">
      <c r="G1314" s="72"/>
    </row>
    <row r="1315" spans="7:7" ht="15" x14ac:dyDescent="0.2">
      <c r="G1315" s="72"/>
    </row>
    <row r="1316" spans="7:7" ht="15" x14ac:dyDescent="0.2">
      <c r="G1316" s="72"/>
    </row>
    <row r="1317" spans="7:7" ht="15" x14ac:dyDescent="0.2">
      <c r="G1317" s="73"/>
    </row>
    <row r="1318" spans="7:7" ht="15" x14ac:dyDescent="0.2">
      <c r="G1318" s="72"/>
    </row>
    <row r="1319" spans="7:7" ht="15" x14ac:dyDescent="0.2">
      <c r="G1319" s="72"/>
    </row>
    <row r="1320" spans="7:7" ht="15" x14ac:dyDescent="0.2">
      <c r="G1320" s="72"/>
    </row>
    <row r="1321" spans="7:7" ht="15" x14ac:dyDescent="0.2">
      <c r="G1321" s="72"/>
    </row>
    <row r="1322" spans="7:7" ht="15" x14ac:dyDescent="0.2">
      <c r="G1322" s="72"/>
    </row>
    <row r="1323" spans="7:7" ht="15" x14ac:dyDescent="0.2">
      <c r="G1323" s="72"/>
    </row>
    <row r="1324" spans="7:7" ht="15" x14ac:dyDescent="0.2">
      <c r="G1324" s="72"/>
    </row>
    <row r="1325" spans="7:7" ht="15" x14ac:dyDescent="0.2">
      <c r="G1325" s="72"/>
    </row>
    <row r="1326" spans="7:7" ht="15" x14ac:dyDescent="0.2">
      <c r="G1326" s="72"/>
    </row>
    <row r="1327" spans="7:7" ht="15" x14ac:dyDescent="0.2">
      <c r="G1327" s="72"/>
    </row>
    <row r="1328" spans="7:7" ht="15" x14ac:dyDescent="0.2">
      <c r="G1328" s="72"/>
    </row>
    <row r="1329" spans="7:7" ht="15" x14ac:dyDescent="0.2">
      <c r="G1329" s="72"/>
    </row>
    <row r="1330" spans="7:7" ht="15" x14ac:dyDescent="0.2">
      <c r="G1330" s="72"/>
    </row>
    <row r="1331" spans="7:7" ht="15" x14ac:dyDescent="0.2">
      <c r="G1331" s="72"/>
    </row>
    <row r="1332" spans="7:7" ht="15" x14ac:dyDescent="0.2">
      <c r="G1332" s="72"/>
    </row>
    <row r="1333" spans="7:7" ht="15" x14ac:dyDescent="0.2">
      <c r="G1333" s="73"/>
    </row>
    <row r="1334" spans="7:7" ht="15" x14ac:dyDescent="0.2">
      <c r="G1334" s="72"/>
    </row>
    <row r="1335" spans="7:7" ht="15" x14ac:dyDescent="0.2">
      <c r="G1335" s="72"/>
    </row>
    <row r="1336" spans="7:7" ht="15" x14ac:dyDescent="0.2">
      <c r="G1336" s="72"/>
    </row>
    <row r="1337" spans="7:7" ht="15" x14ac:dyDescent="0.2">
      <c r="G1337" s="72"/>
    </row>
    <row r="1338" spans="7:7" ht="15" x14ac:dyDescent="0.2">
      <c r="G1338" s="73"/>
    </row>
    <row r="1339" spans="7:7" ht="15" x14ac:dyDescent="0.2">
      <c r="G1339" s="72"/>
    </row>
    <row r="1340" spans="7:7" ht="15" x14ac:dyDescent="0.2">
      <c r="G1340" s="72"/>
    </row>
    <row r="1341" spans="7:7" ht="15" x14ac:dyDescent="0.2">
      <c r="G1341" s="72"/>
    </row>
    <row r="1342" spans="7:7" ht="15" x14ac:dyDescent="0.2">
      <c r="G1342" s="72"/>
    </row>
    <row r="1343" spans="7:7" ht="15" x14ac:dyDescent="0.2">
      <c r="G1343" s="72"/>
    </row>
    <row r="1344" spans="7:7" ht="15" x14ac:dyDescent="0.2">
      <c r="G1344" s="72"/>
    </row>
    <row r="1345" spans="7:7" ht="15" x14ac:dyDescent="0.2">
      <c r="G1345" s="72"/>
    </row>
    <row r="1346" spans="7:7" ht="15" x14ac:dyDescent="0.2">
      <c r="G1346" s="73"/>
    </row>
    <row r="1347" spans="7:7" ht="15" x14ac:dyDescent="0.2">
      <c r="G1347" s="72"/>
    </row>
    <row r="1348" spans="7:7" ht="15" x14ac:dyDescent="0.2">
      <c r="G1348" s="72"/>
    </row>
    <row r="1349" spans="7:7" ht="15" x14ac:dyDescent="0.2">
      <c r="G1349" s="72"/>
    </row>
    <row r="1350" spans="7:7" ht="15" x14ac:dyDescent="0.2">
      <c r="G1350" s="73"/>
    </row>
    <row r="1351" spans="7:7" ht="15" x14ac:dyDescent="0.2">
      <c r="G1351" s="72"/>
    </row>
    <row r="1352" spans="7:7" ht="15" x14ac:dyDescent="0.2">
      <c r="G1352" s="72"/>
    </row>
    <row r="1353" spans="7:7" ht="15" x14ac:dyDescent="0.2">
      <c r="G1353" s="72"/>
    </row>
    <row r="1354" spans="7:7" ht="15" x14ac:dyDescent="0.2">
      <c r="G1354" s="72"/>
    </row>
    <row r="1355" spans="7:7" ht="15" x14ac:dyDescent="0.2">
      <c r="G1355" s="72"/>
    </row>
    <row r="1356" spans="7:7" ht="15" x14ac:dyDescent="0.2">
      <c r="G1356" s="72"/>
    </row>
    <row r="1357" spans="7:7" ht="15" x14ac:dyDescent="0.2">
      <c r="G1357" s="72"/>
    </row>
    <row r="1358" spans="7:7" ht="15" x14ac:dyDescent="0.2">
      <c r="G1358" s="72"/>
    </row>
    <row r="1359" spans="7:7" ht="15" x14ac:dyDescent="0.2">
      <c r="G1359" s="72"/>
    </row>
    <row r="1360" spans="7:7" ht="15" x14ac:dyDescent="0.2">
      <c r="G1360" s="72"/>
    </row>
    <row r="1361" spans="7:7" ht="15" x14ac:dyDescent="0.2">
      <c r="G1361" s="72"/>
    </row>
    <row r="1362" spans="7:7" ht="15" x14ac:dyDescent="0.2">
      <c r="G1362" s="73"/>
    </row>
    <row r="1363" spans="7:7" ht="15" x14ac:dyDescent="0.2">
      <c r="G1363" s="72"/>
    </row>
    <row r="1364" spans="7:7" ht="15" x14ac:dyDescent="0.2">
      <c r="G1364" s="72"/>
    </row>
    <row r="1365" spans="7:7" ht="15" x14ac:dyDescent="0.2">
      <c r="G1365" s="72"/>
    </row>
    <row r="1366" spans="7:7" ht="15" x14ac:dyDescent="0.2">
      <c r="G1366" s="72"/>
    </row>
    <row r="1367" spans="7:7" ht="15" x14ac:dyDescent="0.2">
      <c r="G1367" s="72"/>
    </row>
    <row r="1368" spans="7:7" ht="15" x14ac:dyDescent="0.2">
      <c r="G1368" s="72"/>
    </row>
    <row r="1369" spans="7:7" ht="15" x14ac:dyDescent="0.2">
      <c r="G1369" s="72"/>
    </row>
    <row r="1370" spans="7:7" ht="15" x14ac:dyDescent="0.2">
      <c r="G1370" s="72"/>
    </row>
    <row r="1371" spans="7:7" ht="15" x14ac:dyDescent="0.2">
      <c r="G1371" s="72"/>
    </row>
    <row r="1372" spans="7:7" ht="15" x14ac:dyDescent="0.2">
      <c r="G1372" s="72"/>
    </row>
    <row r="1373" spans="7:7" ht="15" x14ac:dyDescent="0.2">
      <c r="G1373" s="72"/>
    </row>
    <row r="1374" spans="7:7" ht="15" x14ac:dyDescent="0.2">
      <c r="G1374" s="72"/>
    </row>
    <row r="1375" spans="7:7" ht="15" x14ac:dyDescent="0.2">
      <c r="G1375" s="72"/>
    </row>
    <row r="1376" spans="7:7" ht="15" x14ac:dyDescent="0.2">
      <c r="G1376" s="72"/>
    </row>
    <row r="1377" spans="7:7" ht="15" x14ac:dyDescent="0.2">
      <c r="G1377" s="72"/>
    </row>
    <row r="1378" spans="7:7" ht="15" x14ac:dyDescent="0.2">
      <c r="G1378" s="72"/>
    </row>
    <row r="1379" spans="7:7" ht="15" x14ac:dyDescent="0.2">
      <c r="G1379" s="72"/>
    </row>
    <row r="1380" spans="7:7" ht="15" x14ac:dyDescent="0.2">
      <c r="G1380" s="72"/>
    </row>
    <row r="1381" spans="7:7" ht="15" x14ac:dyDescent="0.2">
      <c r="G1381" s="72"/>
    </row>
    <row r="1382" spans="7:7" ht="15" x14ac:dyDescent="0.2">
      <c r="G1382" s="72"/>
    </row>
    <row r="1383" spans="7:7" ht="15" x14ac:dyDescent="0.2">
      <c r="G1383" s="72"/>
    </row>
    <row r="1384" spans="7:7" ht="15" x14ac:dyDescent="0.2">
      <c r="G1384" s="72"/>
    </row>
    <row r="1385" spans="7:7" ht="15" x14ac:dyDescent="0.2">
      <c r="G1385" s="72"/>
    </row>
    <row r="1386" spans="7:7" ht="15" x14ac:dyDescent="0.2">
      <c r="G1386" s="72"/>
    </row>
    <row r="1387" spans="7:7" ht="15" x14ac:dyDescent="0.2">
      <c r="G1387" s="72"/>
    </row>
    <row r="1388" spans="7:7" ht="15" x14ac:dyDescent="0.2">
      <c r="G1388" s="72"/>
    </row>
    <row r="1389" spans="7:7" ht="15" x14ac:dyDescent="0.2">
      <c r="G1389" s="72"/>
    </row>
    <row r="1390" spans="7:7" ht="15" x14ac:dyDescent="0.2">
      <c r="G1390" s="72"/>
    </row>
    <row r="1391" spans="7:7" ht="15" x14ac:dyDescent="0.2">
      <c r="G1391" s="72"/>
    </row>
    <row r="1392" spans="7:7" ht="15" x14ac:dyDescent="0.2">
      <c r="G1392" s="72"/>
    </row>
    <row r="1393" spans="7:7" ht="15" x14ac:dyDescent="0.2">
      <c r="G1393" s="72"/>
    </row>
    <row r="1394" spans="7:7" ht="15" x14ac:dyDescent="0.2">
      <c r="G1394" s="73"/>
    </row>
    <row r="1395" spans="7:7" ht="15" x14ac:dyDescent="0.2">
      <c r="G1395" s="72"/>
    </row>
    <row r="1396" spans="7:7" ht="15" x14ac:dyDescent="0.2">
      <c r="G1396" s="72"/>
    </row>
    <row r="1397" spans="7:7" ht="15" x14ac:dyDescent="0.2">
      <c r="G1397" s="72"/>
    </row>
    <row r="1398" spans="7:7" ht="15" x14ac:dyDescent="0.2">
      <c r="G1398" s="72"/>
    </row>
    <row r="1399" spans="7:7" ht="15" x14ac:dyDescent="0.2">
      <c r="G1399" s="72"/>
    </row>
    <row r="1400" spans="7:7" ht="15" x14ac:dyDescent="0.2">
      <c r="G1400" s="72"/>
    </row>
    <row r="1401" spans="7:7" ht="15" x14ac:dyDescent="0.2">
      <c r="G1401" s="72"/>
    </row>
    <row r="1402" spans="7:7" ht="15" x14ac:dyDescent="0.2">
      <c r="G1402" s="72"/>
    </row>
    <row r="1403" spans="7:7" ht="15" x14ac:dyDescent="0.2">
      <c r="G1403" s="72"/>
    </row>
    <row r="1404" spans="7:7" ht="15" x14ac:dyDescent="0.2">
      <c r="G1404" s="72"/>
    </row>
    <row r="1405" spans="7:7" ht="15" x14ac:dyDescent="0.2">
      <c r="G1405" s="72"/>
    </row>
    <row r="1406" spans="7:7" ht="15" x14ac:dyDescent="0.2">
      <c r="G1406" s="72"/>
    </row>
    <row r="1407" spans="7:7" ht="15" x14ac:dyDescent="0.2">
      <c r="G1407" s="72"/>
    </row>
    <row r="1408" spans="7:7" ht="15" x14ac:dyDescent="0.2">
      <c r="G1408" s="72"/>
    </row>
    <row r="1409" spans="7:7" ht="15" x14ac:dyDescent="0.2">
      <c r="G1409" s="72"/>
    </row>
    <row r="1410" spans="7:7" ht="15" x14ac:dyDescent="0.2">
      <c r="G1410" s="72"/>
    </row>
    <row r="1411" spans="7:7" ht="15" x14ac:dyDescent="0.2">
      <c r="G1411" s="72"/>
    </row>
  </sheetData>
  <mergeCells count="3">
    <mergeCell ref="C14:G14"/>
    <mergeCell ref="I14:M14"/>
    <mergeCell ref="AA1:A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C0B3-BC2D-49F1-96E4-839579C975C4}">
  <dimension ref="A1:W1239"/>
  <sheetViews>
    <sheetView tabSelected="1" topLeftCell="J1" zoomScale="62" zoomScaleNormal="250" workbookViewId="0">
      <selection activeCell="R2" sqref="R2:W7"/>
    </sheetView>
  </sheetViews>
  <sheetFormatPr defaultRowHeight="12.75" x14ac:dyDescent="0.2"/>
  <cols>
    <col min="1" max="1" width="9.85546875" bestFit="1" customWidth="1"/>
    <col min="2" max="2" width="10.140625" bestFit="1" customWidth="1"/>
    <col min="3" max="3" width="12.85546875" bestFit="1" customWidth="1"/>
    <col min="4" max="4" width="12.85546875" customWidth="1"/>
    <col min="5" max="5" width="11.5703125" bestFit="1" customWidth="1"/>
    <col min="6" max="6" width="18.85546875" bestFit="1" customWidth="1"/>
    <col min="7" max="7" width="9.28515625" bestFit="1" customWidth="1"/>
    <col min="8" max="8" width="9.28515625" customWidth="1"/>
    <col min="9" max="9" width="20.28515625" bestFit="1" customWidth="1"/>
    <col min="10" max="10" width="9.28515625" customWidth="1"/>
    <col min="14" max="14" width="20.140625" bestFit="1" customWidth="1"/>
    <col min="15" max="15" width="25" bestFit="1" customWidth="1"/>
    <col min="16" max="16" width="31.28515625" bestFit="1" customWidth="1"/>
    <col min="17" max="17" width="4.5703125" customWidth="1"/>
    <col min="18" max="18" width="18.140625" bestFit="1" customWidth="1"/>
    <col min="19" max="19" width="12.42578125" bestFit="1" customWidth="1"/>
    <col min="20" max="20" width="17.28515625" bestFit="1" customWidth="1"/>
    <col min="21" max="21" width="18.140625" bestFit="1" customWidth="1"/>
    <col min="22" max="22" width="8" bestFit="1" customWidth="1"/>
    <col min="23" max="23" width="18.140625" bestFit="1" customWidth="1"/>
  </cols>
  <sheetData>
    <row r="1" spans="1:23" x14ac:dyDescent="0.2">
      <c r="A1" t="s">
        <v>104</v>
      </c>
      <c r="B1" t="s">
        <v>103</v>
      </c>
      <c r="C1" t="s">
        <v>105</v>
      </c>
      <c r="E1" s="3" t="s">
        <v>6</v>
      </c>
      <c r="F1" s="57" t="s">
        <v>106</v>
      </c>
      <c r="G1" s="3" t="s">
        <v>107</v>
      </c>
      <c r="H1" s="3"/>
      <c r="I1" s="57" t="s">
        <v>215</v>
      </c>
      <c r="J1" s="3" t="s">
        <v>216</v>
      </c>
      <c r="N1" s="57" t="s">
        <v>211</v>
      </c>
      <c r="O1" s="57" t="s">
        <v>212</v>
      </c>
      <c r="P1" s="57" t="s">
        <v>213</v>
      </c>
      <c r="Q1" s="57"/>
    </row>
    <row r="2" spans="1:23" x14ac:dyDescent="0.2">
      <c r="A2" s="24">
        <v>-0.05</v>
      </c>
      <c r="B2">
        <f t="array" ref="B2:B42">FREQUENCY(Calculation!$N$16:$N$1252,Charts!$A$2:$A$42)</f>
        <v>0</v>
      </c>
      <c r="C2">
        <f>(_xlfn.NORM.DIST(A2,AVERAGE(Calculation!$N$16:$N$1252),_xlfn.STDEV.S(Calculation!$N$16:$N$1252),FALSE))*0.0025*COUNT(Calculation!$N$16:$N$1252)</f>
        <v>6.5340427375048079E-5</v>
      </c>
      <c r="E2" s="56">
        <f>Calculation!B16</f>
        <v>46185</v>
      </c>
      <c r="F2">
        <f>F3*(1+Calculation!N16)</f>
        <v>531245.77428198094</v>
      </c>
      <c r="G2" s="3">
        <f>Calculation!$C$10</f>
        <v>500000</v>
      </c>
      <c r="H2" s="3"/>
      <c r="I2" s="79">
        <f ca="1">ABS(PERCENTILE(OFFSET(Calculation!$N$16, ROW()-2, 0, 30, 1), 0.05))*500000</f>
        <v>5817.3162043260872</v>
      </c>
      <c r="J2" s="81">
        <f ca="1">ABS(PERCENTILE(OFFSET(Calculation!$N$16, ROW()-2, 0, 30, 1), 0.01))*500000</f>
        <v>7368.0783833580153</v>
      </c>
      <c r="N2" t="str" cm="1">
        <f t="array" ref="N2:N6">Summary!A5:A9</f>
        <v>Nestle India</v>
      </c>
      <c r="O2" s="76" cm="1">
        <f t="array" ref="O2:O6">Summary!F47:F51</f>
        <v>2177.6233725733068</v>
      </c>
      <c r="P2" s="76"/>
      <c r="Q2" s="76"/>
      <c r="R2" s="14" t="s">
        <v>40</v>
      </c>
      <c r="S2" s="4" t="s">
        <v>29</v>
      </c>
      <c r="T2" s="4" t="s">
        <v>30</v>
      </c>
      <c r="U2" s="4" t="s">
        <v>31</v>
      </c>
      <c r="V2" s="4" t="s">
        <v>32</v>
      </c>
      <c r="W2" s="4" t="s">
        <v>33</v>
      </c>
    </row>
    <row r="3" spans="1:23" x14ac:dyDescent="0.2">
      <c r="A3" s="24">
        <f>A2+0.25%</f>
        <v>-4.7500000000000001E-2</v>
      </c>
      <c r="B3">
        <v>0</v>
      </c>
      <c r="C3">
        <f>(_xlfn.NORM.DIST(A3,AVERAGE(Calculation!$N$16:$N$1252),_xlfn.STDEV.S(Calculation!$N$16:$N$1252),FALSE))*0.0025*COUNT(Calculation!$N$16:$N$1252)</f>
        <v>2.2694240871324952E-4</v>
      </c>
      <c r="E3" s="56">
        <f>Calculation!B17</f>
        <v>46184</v>
      </c>
      <c r="F3">
        <f>F4*(1+Calculation!N17)</f>
        <v>525538.3559112862</v>
      </c>
      <c r="G3" s="3">
        <f>Calculation!$C$10</f>
        <v>500000</v>
      </c>
      <c r="H3" s="3"/>
      <c r="I3" s="79">
        <f ca="1">ABS(PERCENTILE(OFFSET(Calculation!$N$16, ROW()-2, 0, 30, 1), 0.05))*500000</f>
        <v>5817.3162043260872</v>
      </c>
      <c r="J3" s="81">
        <f ca="1">ABS(PERCENTILE(OFFSET(Calculation!$N$16, ROW()-2, 0, 30, 1), 0.01))*500000</f>
        <v>7368.0783833580153</v>
      </c>
      <c r="N3" t="str">
        <v>Pidilite Industries</v>
      </c>
      <c r="O3">
        <v>2135.4764980909808</v>
      </c>
      <c r="R3" s="4" t="s">
        <v>29</v>
      </c>
      <c r="S3" s="19">
        <v>1.4194026361043379E-4</v>
      </c>
      <c r="T3" s="19">
        <v>5.3041311197021259E-5</v>
      </c>
      <c r="U3" s="19">
        <v>3.2666305401345023E-5</v>
      </c>
      <c r="V3" s="19">
        <v>4.4765888769466337E-5</v>
      </c>
      <c r="W3" s="19">
        <v>5.055190353187473E-5</v>
      </c>
    </row>
    <row r="4" spans="1:23" x14ac:dyDescent="0.2">
      <c r="A4" s="24">
        <f t="shared" ref="A4:A42" si="0">A3+0.25%</f>
        <v>-4.4999999999999998E-2</v>
      </c>
      <c r="B4">
        <v>0</v>
      </c>
      <c r="C4">
        <f>(_xlfn.NORM.DIST(A4,AVERAGE(Calculation!$N$16:$N$1252),_xlfn.STDEV.S(Calculation!$N$16:$N$1252),FALSE))*0.0025*COUNT(Calculation!$N$16:$N$1252)</f>
        <v>7.3975266871006138E-4</v>
      </c>
      <c r="E4" s="56">
        <f>Calculation!B18</f>
        <v>46183</v>
      </c>
      <c r="F4">
        <f>F5*(1+Calculation!N18)</f>
        <v>528036.16593412787</v>
      </c>
      <c r="G4" s="3">
        <f>Calculation!$C$10</f>
        <v>500000</v>
      </c>
      <c r="H4" s="3"/>
      <c r="I4" s="79">
        <f ca="1">ABS(PERCENTILE(OFFSET(Calculation!$N$16, ROW()-2, 0, 30, 1), 0.05))*500000</f>
        <v>5817.3162043260872</v>
      </c>
      <c r="J4" s="81">
        <f ca="1">ABS(PERCENTILE(OFFSET(Calculation!$N$16, ROW()-2, 0, 30, 1), 0.01))*500000</f>
        <v>7368.0783833580153</v>
      </c>
      <c r="N4" t="str">
        <v>Divi's Laboratories</v>
      </c>
      <c r="O4">
        <v>2301.7450298323574</v>
      </c>
      <c r="R4" s="4" t="s">
        <v>30</v>
      </c>
      <c r="S4" s="19">
        <v>5.3041311197021259E-5</v>
      </c>
      <c r="T4" s="19">
        <v>1.7927902183356527E-4</v>
      </c>
      <c r="U4" s="19">
        <v>5.2731559501663282E-5</v>
      </c>
      <c r="V4" s="19">
        <v>6.4315507132136832E-5</v>
      </c>
      <c r="W4" s="19">
        <v>6.9559755911950631E-5</v>
      </c>
    </row>
    <row r="5" spans="1:23" x14ac:dyDescent="0.2">
      <c r="A5" s="24">
        <f t="shared" si="0"/>
        <v>-4.2499999999999996E-2</v>
      </c>
      <c r="B5">
        <v>0</v>
      </c>
      <c r="C5">
        <f>(_xlfn.NORM.DIST(A5,AVERAGE(Calculation!$N$16:$N$1252),_xlfn.STDEV.S(Calculation!$N$16:$N$1252),FALSE))*0.0025*COUNT(Calculation!$N$16:$N$1252)</f>
        <v>2.2630524124278894E-3</v>
      </c>
      <c r="E5" s="56">
        <f>Calculation!B19</f>
        <v>46182</v>
      </c>
      <c r="F5">
        <f>F6*(1+Calculation!N19)</f>
        <v>526567.63172786264</v>
      </c>
      <c r="G5" s="3">
        <f>Calculation!$C$10</f>
        <v>500000</v>
      </c>
      <c r="H5" s="3"/>
      <c r="I5" s="79">
        <f ca="1">ABS(PERCENTILE(OFFSET(Calculation!$N$16, ROW()-2, 0, 30, 1), 0.05))*500000</f>
        <v>5817.3162043260872</v>
      </c>
      <c r="J5" s="81">
        <f ca="1">ABS(PERCENTILE(OFFSET(Calculation!$N$16, ROW()-2, 0, 30, 1), 0.01))*500000</f>
        <v>7368.0783833580153</v>
      </c>
      <c r="N5" t="str">
        <v>Bosch Ltd</v>
      </c>
      <c r="O5">
        <v>3025.7816375806169</v>
      </c>
      <c r="R5" s="4" t="s">
        <v>31</v>
      </c>
      <c r="S5" s="19">
        <v>3.2666305401345023E-5</v>
      </c>
      <c r="T5" s="19">
        <v>5.2731559501663282E-5</v>
      </c>
      <c r="U5" s="19">
        <v>2.855261220995833E-4</v>
      </c>
      <c r="V5" s="19">
        <v>5.9658333922503544E-5</v>
      </c>
      <c r="W5" s="19">
        <v>6.2477359062557741E-5</v>
      </c>
    </row>
    <row r="6" spans="1:23" x14ac:dyDescent="0.2">
      <c r="A6" s="24">
        <f t="shared" si="0"/>
        <v>-3.9999999999999994E-2</v>
      </c>
      <c r="B6">
        <v>0</v>
      </c>
      <c r="C6">
        <f>(_xlfn.NORM.DIST(A6,AVERAGE(Calculation!$N$16:$N$1252),_xlfn.STDEV.S(Calculation!$N$16:$N$1252),FALSE))*0.0025*COUNT(Calculation!$N$16:$N$1252)</f>
        <v>6.4974040584812667E-3</v>
      </c>
      <c r="E6" s="56">
        <f>Calculation!B20</f>
        <v>46181</v>
      </c>
      <c r="F6">
        <f>F7*(1+Calculation!N20)</f>
        <v>516010.54090665758</v>
      </c>
      <c r="G6" s="3">
        <f>Calculation!$C$10</f>
        <v>500000</v>
      </c>
      <c r="H6" s="3"/>
      <c r="I6" s="79">
        <f ca="1">ABS(PERCENTILE(OFFSET(Calculation!$N$16, ROW()-2, 0, 30, 1), 0.05))*500000</f>
        <v>5817.3162043260872</v>
      </c>
      <c r="J6" s="81">
        <f ca="1">ABS(PERCENTILE(OFFSET(Calculation!$N$16, ROW()-2, 0, 30, 1), 0.01))*500000</f>
        <v>7368.0783833580153</v>
      </c>
      <c r="N6" t="str">
        <v>UltraTech Cement</v>
      </c>
      <c r="O6">
        <v>2368.6630318529628</v>
      </c>
      <c r="R6" s="4" t="s">
        <v>32</v>
      </c>
      <c r="S6" s="19">
        <v>4.4765888769466337E-5</v>
      </c>
      <c r="T6" s="19">
        <v>6.4315507132136832E-5</v>
      </c>
      <c r="U6" s="19">
        <v>5.9658333922503544E-5</v>
      </c>
      <c r="V6" s="19">
        <v>2.6004159620459212E-4</v>
      </c>
      <c r="W6" s="19">
        <v>8.3871918093642123E-5</v>
      </c>
    </row>
    <row r="7" spans="1:23" x14ac:dyDescent="0.2">
      <c r="A7" s="24">
        <f t="shared" si="0"/>
        <v>-3.7499999999999992E-2</v>
      </c>
      <c r="B7">
        <v>0</v>
      </c>
      <c r="C7">
        <f>(_xlfn.NORM.DIST(A7,AVERAGE(Calculation!$N$16:$N$1252),_xlfn.STDEV.S(Calculation!$N$16:$N$1252),FALSE))*0.0025*COUNT(Calculation!$N$16:$N$1252)</f>
        <v>1.7507427220184113E-2</v>
      </c>
      <c r="E7" s="56">
        <f>Calculation!B21</f>
        <v>46178</v>
      </c>
      <c r="F7">
        <f>F8*(1+Calculation!N21)</f>
        <v>521006.0797488247</v>
      </c>
      <c r="G7" s="3">
        <f>Calculation!$C$10</f>
        <v>500000</v>
      </c>
      <c r="H7" s="3"/>
      <c r="I7" s="79">
        <f ca="1">ABS(PERCENTILE(OFFSET(Calculation!$N$16, ROW()-2, 0, 30, 1), 0.05))*500000</f>
        <v>5817.3162043260872</v>
      </c>
      <c r="J7" s="81">
        <f ca="1">ABS(PERCENTILE(OFFSET(Calculation!$N$16, ROW()-2, 0, 30, 1), 0.01))*500000</f>
        <v>7368.0783833580153</v>
      </c>
      <c r="N7" s="77" t="s">
        <v>214</v>
      </c>
      <c r="O7" s="78">
        <f>Summary!F52</f>
        <v>12009.289569930224</v>
      </c>
      <c r="P7" s="78">
        <f>Summary!B39</f>
        <v>8013.6617623526236</v>
      </c>
      <c r="Q7" s="78"/>
      <c r="R7" s="4" t="s">
        <v>33</v>
      </c>
      <c r="S7" s="19">
        <v>5.055190353187473E-5</v>
      </c>
      <c r="T7" s="19">
        <v>6.9559755911950631E-5</v>
      </c>
      <c r="U7" s="19">
        <v>6.2477359062557741E-5</v>
      </c>
      <c r="V7" s="19">
        <v>8.3871918093642123E-5</v>
      </c>
      <c r="W7" s="19">
        <v>2.1082583548869541E-4</v>
      </c>
    </row>
    <row r="8" spans="1:23" x14ac:dyDescent="0.2">
      <c r="A8" s="24">
        <f t="shared" si="0"/>
        <v>-3.4999999999999989E-2</v>
      </c>
      <c r="B8">
        <v>0</v>
      </c>
      <c r="C8">
        <f>(_xlfn.NORM.DIST(A8,AVERAGE(Calculation!$N$16:$N$1252),_xlfn.STDEV.S(Calculation!$N$16:$N$1252),FALSE))*0.0025*COUNT(Calculation!$N$16:$N$1252)</f>
        <v>4.4273308249001671E-2</v>
      </c>
      <c r="E8" s="56">
        <f>Calculation!B22</f>
        <v>46177</v>
      </c>
      <c r="F8">
        <f>F9*(1+Calculation!N22)</f>
        <v>519867.4306465814</v>
      </c>
      <c r="G8" s="3">
        <f>Calculation!$C$10</f>
        <v>500000</v>
      </c>
      <c r="H8" s="3"/>
      <c r="I8" s="79">
        <f ca="1">ABS(PERCENTILE(OFFSET(Calculation!$N$16, ROW()-2, 0, 30, 1), 0.05))*500000</f>
        <v>5817.3162043260872</v>
      </c>
      <c r="J8" s="81">
        <f ca="1">ABS(PERCENTILE(OFFSET(Calculation!$N$16, ROW()-2, 0, 30, 1), 0.01))*500000</f>
        <v>7368.0783833580153</v>
      </c>
    </row>
    <row r="9" spans="1:23" x14ac:dyDescent="0.2">
      <c r="A9" s="24">
        <f t="shared" si="0"/>
        <v>-3.2499999999999987E-2</v>
      </c>
      <c r="B9">
        <v>2</v>
      </c>
      <c r="C9">
        <f>(_xlfn.NORM.DIST(A9,AVERAGE(Calculation!$N$16:$N$1252),_xlfn.STDEV.S(Calculation!$N$16:$N$1252),FALSE))*0.0025*COUNT(Calculation!$N$16:$N$1252)</f>
        <v>0.10507485802226915</v>
      </c>
      <c r="E9" s="56">
        <f>Calculation!B23</f>
        <v>46176</v>
      </c>
      <c r="F9">
        <f>F10*(1+Calculation!N23)</f>
        <v>523266.73288963252</v>
      </c>
      <c r="G9" s="3">
        <f>Calculation!$C$10</f>
        <v>500000</v>
      </c>
      <c r="H9" s="3"/>
      <c r="I9" s="79">
        <f ca="1">ABS(PERCENTILE(OFFSET(Calculation!$N$16, ROW()-2, 0, 30, 1), 0.05))*500000</f>
        <v>5817.3162043260872</v>
      </c>
      <c r="J9" s="81">
        <f ca="1">ABS(PERCENTILE(OFFSET(Calculation!$N$16, ROW()-2, 0, 30, 1), 0.01))*500000</f>
        <v>7368.0783833580153</v>
      </c>
    </row>
    <row r="10" spans="1:23" x14ac:dyDescent="0.2">
      <c r="A10" s="24">
        <f t="shared" si="0"/>
        <v>-2.9999999999999988E-2</v>
      </c>
      <c r="B10">
        <v>3</v>
      </c>
      <c r="C10">
        <f>(_xlfn.NORM.DIST(A10,AVERAGE(Calculation!$N$16:$N$1252),_xlfn.STDEV.S(Calculation!$N$16:$N$1252),FALSE))*0.0025*COUNT(Calculation!$N$16:$N$1252)</f>
        <v>0.23404148218398299</v>
      </c>
      <c r="E10" s="56">
        <f>Calculation!B24</f>
        <v>46175</v>
      </c>
      <c r="F10">
        <f>F11*(1+Calculation!N24)</f>
        <v>521209.97660343221</v>
      </c>
      <c r="G10" s="3">
        <f>Calculation!$C$10</f>
        <v>500000</v>
      </c>
      <c r="H10" s="3"/>
      <c r="I10" s="79">
        <f ca="1">ABS(PERCENTILE(OFFSET(Calculation!$N$16, ROW()-2, 0, 30, 1), 0.05))*500000</f>
        <v>5817.3162043260872</v>
      </c>
      <c r="J10" s="81">
        <f ca="1">ABS(PERCENTILE(OFFSET(Calculation!$N$16, ROW()-2, 0, 30, 1), 0.01))*500000</f>
        <v>7368.0783833580153</v>
      </c>
    </row>
    <row r="11" spans="1:23" x14ac:dyDescent="0.2">
      <c r="A11" s="24">
        <f t="shared" si="0"/>
        <v>-2.749999999999999E-2</v>
      </c>
      <c r="B11">
        <v>0</v>
      </c>
      <c r="C11">
        <f>(_xlfn.NORM.DIST(A11,AVERAGE(Calculation!$N$16:$N$1252),_xlfn.STDEV.S(Calculation!$N$16:$N$1252),FALSE))*0.0025*COUNT(Calculation!$N$16:$N$1252)</f>
        <v>0.4892423674369562</v>
      </c>
      <c r="E11" s="56">
        <f>Calculation!B25</f>
        <v>46174</v>
      </c>
      <c r="F11">
        <f>F12*(1+Calculation!N25)</f>
        <v>520164.74581859028</v>
      </c>
      <c r="G11" s="3">
        <f>Calculation!$C$10</f>
        <v>500000</v>
      </c>
      <c r="H11" s="3"/>
      <c r="I11" s="79">
        <f ca="1">ABS(PERCENTILE(OFFSET(Calculation!$N$16, ROW()-2, 0, 30, 1), 0.05))*500000</f>
        <v>5817.3162043260872</v>
      </c>
      <c r="J11" s="81">
        <f ca="1">ABS(PERCENTILE(OFFSET(Calculation!$N$16, ROW()-2, 0, 30, 1), 0.01))*500000</f>
        <v>7368.0783833580153</v>
      </c>
    </row>
    <row r="12" spans="1:23" x14ac:dyDescent="0.2">
      <c r="A12" s="24">
        <f t="shared" si="0"/>
        <v>-2.4999999999999991E-2</v>
      </c>
      <c r="B12">
        <v>0</v>
      </c>
      <c r="C12">
        <f>(_xlfn.NORM.DIST(A12,AVERAGE(Calculation!$N$16:$N$1252),_xlfn.STDEV.S(Calculation!$N$16:$N$1252),FALSE))*0.0025*COUNT(Calculation!$N$16:$N$1252)</f>
        <v>0.95982591044055288</v>
      </c>
      <c r="E12" s="56">
        <f>Calculation!B26</f>
        <v>46171</v>
      </c>
      <c r="F12">
        <f>F13*(1+Calculation!N26)</f>
        <v>528573.94523402979</v>
      </c>
      <c r="G12" s="3">
        <f>Calculation!$C$10</f>
        <v>500000</v>
      </c>
      <c r="H12" s="3"/>
      <c r="I12" s="79">
        <f ca="1">ABS(PERCENTILE(OFFSET(Calculation!$N$16, ROW()-2, 0, 30, 1), 0.05))*500000</f>
        <v>5492.7964597571945</v>
      </c>
      <c r="J12" s="81">
        <f ca="1">ABS(PERCENTILE(OFFSET(Calculation!$N$16, ROW()-2, 0, 30, 1), 0.01))*500000</f>
        <v>5858.1234707131835</v>
      </c>
    </row>
    <row r="13" spans="1:23" x14ac:dyDescent="0.2">
      <c r="A13" s="24">
        <f t="shared" si="0"/>
        <v>-2.2499999999999992E-2</v>
      </c>
      <c r="B13">
        <v>0</v>
      </c>
      <c r="C13">
        <f>(_xlfn.NORM.DIST(A13,AVERAGE(Calculation!$N$16:$N$1252),_xlfn.STDEV.S(Calculation!$N$16:$N$1252),FALSE))*0.0025*COUNT(Calculation!$N$16:$N$1252)</f>
        <v>1.7672503290862087</v>
      </c>
      <c r="E13" s="56">
        <f>Calculation!B27</f>
        <v>46169</v>
      </c>
      <c r="F13">
        <f>F14*(1+Calculation!N27)</f>
        <v>530832.97710397106</v>
      </c>
      <c r="G13" s="3">
        <f>Calculation!$C$10</f>
        <v>500000</v>
      </c>
      <c r="H13" s="3"/>
      <c r="I13" s="79">
        <f ca="1">ABS(PERCENTILE(OFFSET(Calculation!$N$16, ROW()-2, 0, 30, 1), 0.05))*500000</f>
        <v>5492.7964597571945</v>
      </c>
      <c r="J13" s="81">
        <f ca="1">ABS(PERCENTILE(OFFSET(Calculation!$N$16, ROW()-2, 0, 30, 1), 0.01))*500000</f>
        <v>5858.1234707131835</v>
      </c>
    </row>
    <row r="14" spans="1:23" x14ac:dyDescent="0.2">
      <c r="A14" s="24">
        <f t="shared" si="0"/>
        <v>-1.9999999999999993E-2</v>
      </c>
      <c r="B14">
        <v>3</v>
      </c>
      <c r="C14">
        <f>(_xlfn.NORM.DIST(A14,AVERAGE(Calculation!$N$16:$N$1252),_xlfn.STDEV.S(Calculation!$N$16:$N$1252),FALSE))*0.0025*COUNT(Calculation!$N$16:$N$1252)</f>
        <v>3.0538019223171164</v>
      </c>
      <c r="E14" s="56">
        <f>Calculation!B28</f>
        <v>46168</v>
      </c>
      <c r="F14">
        <f>F15*(1+Calculation!N28)</f>
        <v>528977.98683475947</v>
      </c>
      <c r="G14" s="3">
        <f>Calculation!$C$10</f>
        <v>500000</v>
      </c>
      <c r="H14" s="3"/>
      <c r="I14" s="79">
        <f ca="1">ABS(PERCENTILE(OFFSET(Calculation!$N$16, ROW()-2, 0, 30, 1), 0.05))*500000</f>
        <v>5817.3162043260872</v>
      </c>
      <c r="J14" s="81">
        <f ca="1">ABS(PERCENTILE(OFFSET(Calculation!$N$16, ROW()-2, 0, 30, 1), 0.01))*500000</f>
        <v>7032.9142676936244</v>
      </c>
    </row>
    <row r="15" spans="1:23" x14ac:dyDescent="0.2">
      <c r="A15" s="24">
        <f t="shared" si="0"/>
        <v>-1.7499999999999995E-2</v>
      </c>
      <c r="B15">
        <v>1</v>
      </c>
      <c r="C15">
        <f>(_xlfn.NORM.DIST(A15,AVERAGE(Calculation!$N$16:$N$1252),_xlfn.STDEV.S(Calculation!$N$16:$N$1252),FALSE))*0.0025*COUNT(Calculation!$N$16:$N$1252)</f>
        <v>4.9524585381289068</v>
      </c>
      <c r="E15" s="56">
        <f>Calculation!B29</f>
        <v>46167</v>
      </c>
      <c r="F15">
        <f>F16*(1+Calculation!N29)</f>
        <v>530133.91201251908</v>
      </c>
      <c r="G15" s="3">
        <f>Calculation!$C$10</f>
        <v>500000</v>
      </c>
      <c r="H15" s="3"/>
      <c r="I15" s="79">
        <f ca="1">ABS(PERCENTILE(OFFSET(Calculation!$N$16, ROW()-2, 0, 30, 1), 0.05))*500000</f>
        <v>5817.3162043260872</v>
      </c>
      <c r="J15" s="81">
        <f ca="1">ABS(PERCENTILE(OFFSET(Calculation!$N$16, ROW()-2, 0, 30, 1), 0.01))*500000</f>
        <v>7032.9142676936244</v>
      </c>
    </row>
    <row r="16" spans="1:23" x14ac:dyDescent="0.2">
      <c r="A16" s="24">
        <f t="shared" si="0"/>
        <v>-1.4999999999999994E-2</v>
      </c>
      <c r="B16">
        <v>5</v>
      </c>
      <c r="C16">
        <f>(_xlfn.NORM.DIST(A16,AVERAGE(Calculation!$N$16:$N$1252),_xlfn.STDEV.S(Calculation!$N$16:$N$1252),FALSE))*0.0025*COUNT(Calculation!$N$16:$N$1252)</f>
        <v>7.5376856842411701</v>
      </c>
      <c r="E16" s="56">
        <f>Calculation!B30</f>
        <v>46164</v>
      </c>
      <c r="F16">
        <f>F17*(1+Calculation!N30)</f>
        <v>530747.32313611463</v>
      </c>
      <c r="G16" s="3">
        <f>Calculation!$C$10</f>
        <v>500000</v>
      </c>
      <c r="H16" s="3"/>
      <c r="I16" s="79">
        <f ca="1">ABS(PERCENTILE(OFFSET(Calculation!$N$16, ROW()-2, 0, 30, 1), 0.05))*500000</f>
        <v>5817.3162043260872</v>
      </c>
      <c r="J16" s="81">
        <f ca="1">ABS(PERCENTILE(OFFSET(Calculation!$N$16, ROW()-2, 0, 30, 1), 0.01))*500000</f>
        <v>7032.9142676936244</v>
      </c>
    </row>
    <row r="17" spans="1:10" x14ac:dyDescent="0.2">
      <c r="A17" s="24">
        <f t="shared" si="0"/>
        <v>-1.2499999999999994E-2</v>
      </c>
      <c r="B17">
        <v>6</v>
      </c>
      <c r="C17">
        <f>(_xlfn.NORM.DIST(A17,AVERAGE(Calculation!$N$16:$N$1252),_xlfn.STDEV.S(Calculation!$N$16:$N$1252),FALSE))*0.0025*COUNT(Calculation!$N$16:$N$1252)</f>
        <v>10.766942417137392</v>
      </c>
      <c r="E17" s="56">
        <f>Calculation!B31</f>
        <v>46163</v>
      </c>
      <c r="F17">
        <f>F18*(1+Calculation!N31)</f>
        <v>525225.71448393934</v>
      </c>
      <c r="G17" s="3">
        <f>Calculation!$C$10</f>
        <v>500000</v>
      </c>
      <c r="H17" s="3"/>
      <c r="I17" s="79">
        <f ca="1">ABS(PERCENTILE(OFFSET(Calculation!$N$16, ROW()-2, 0, 30, 1), 0.05))*500000</f>
        <v>5817.3162043260872</v>
      </c>
      <c r="J17" s="81">
        <f ca="1">ABS(PERCENTILE(OFFSET(Calculation!$N$16, ROW()-2, 0, 30, 1), 0.01))*500000</f>
        <v>7032.9142676936244</v>
      </c>
    </row>
    <row r="18" spans="1:10" x14ac:dyDescent="0.2">
      <c r="A18" s="24">
        <f t="shared" si="0"/>
        <v>-9.9999999999999933E-3</v>
      </c>
      <c r="B18">
        <v>9</v>
      </c>
      <c r="C18">
        <f>(_xlfn.NORM.DIST(A18,AVERAGE(Calculation!$N$16:$N$1252),_xlfn.STDEV.S(Calculation!$N$16:$N$1252),FALSE))*0.0025*COUNT(Calculation!$N$16:$N$1252)</f>
        <v>14.433908514234473</v>
      </c>
      <c r="E18" s="56">
        <f>Calculation!B32</f>
        <v>46162</v>
      </c>
      <c r="F18">
        <f>F19*(1+Calculation!N32)</f>
        <v>529764.91806038213</v>
      </c>
      <c r="G18" s="3">
        <f>Calculation!$C$10</f>
        <v>500000</v>
      </c>
      <c r="H18" s="3"/>
      <c r="I18" s="79">
        <f ca="1">ABS(PERCENTILE(OFFSET(Calculation!$N$16, ROW()-2, 0, 30, 1), 0.05))*500000</f>
        <v>5817.3162043260872</v>
      </c>
      <c r="J18" s="81">
        <f ca="1">ABS(PERCENTILE(OFFSET(Calculation!$N$16, ROW()-2, 0, 30, 1), 0.01))*500000</f>
        <v>7032.9142676936244</v>
      </c>
    </row>
    <row r="19" spans="1:10" x14ac:dyDescent="0.2">
      <c r="A19" s="24">
        <f t="shared" si="0"/>
        <v>-7.4999999999999928E-3</v>
      </c>
      <c r="B19">
        <v>15</v>
      </c>
      <c r="C19">
        <f>(_xlfn.NORM.DIST(A19,AVERAGE(Calculation!$N$16:$N$1252),_xlfn.STDEV.S(Calculation!$N$16:$N$1252),FALSE))*0.0025*COUNT(Calculation!$N$16:$N$1252)</f>
        <v>18.159868419636389</v>
      </c>
      <c r="E19" s="56">
        <f>Calculation!B33</f>
        <v>46161</v>
      </c>
      <c r="F19">
        <f>F20*(1+Calculation!N33)</f>
        <v>531332.37253410963</v>
      </c>
      <c r="G19" s="3">
        <f>Calculation!$C$10</f>
        <v>500000</v>
      </c>
      <c r="H19" s="3"/>
      <c r="I19" s="79">
        <f ca="1">ABS(PERCENTILE(OFFSET(Calculation!$N$16, ROW()-2, 0, 30, 1), 0.05))*500000</f>
        <v>5817.3162043260872</v>
      </c>
      <c r="J19" s="81">
        <f ca="1">ABS(PERCENTILE(OFFSET(Calculation!$N$16, ROW()-2, 0, 30, 1), 0.01))*500000</f>
        <v>7032.9142676936244</v>
      </c>
    </row>
    <row r="20" spans="1:10" x14ac:dyDescent="0.2">
      <c r="A20" s="24">
        <f t="shared" si="0"/>
        <v>-4.9999999999999923E-3</v>
      </c>
      <c r="B20">
        <v>13</v>
      </c>
      <c r="C20">
        <f>(_xlfn.NORM.DIST(A20,AVERAGE(Calculation!$N$16:$N$1252),_xlfn.STDEV.S(Calculation!$N$16:$N$1252),FALSE))*0.0025*COUNT(Calculation!$N$16:$N$1252)</f>
        <v>21.442658936563831</v>
      </c>
      <c r="E20" s="56">
        <f>Calculation!B34</f>
        <v>46160</v>
      </c>
      <c r="F20">
        <f>F21*(1+Calculation!N34)</f>
        <v>531753.17140439758</v>
      </c>
      <c r="G20" s="3">
        <f>Calculation!$C$10</f>
        <v>500000</v>
      </c>
      <c r="H20" s="3"/>
      <c r="I20" s="79">
        <f ca="1">ABS(PERCENTILE(OFFSET(Calculation!$N$16, ROW()-2, 0, 30, 1), 0.05))*500000</f>
        <v>5817.3162043260872</v>
      </c>
      <c r="J20" s="81">
        <f ca="1">ABS(PERCENTILE(OFFSET(Calculation!$N$16, ROW()-2, 0, 30, 1), 0.01))*500000</f>
        <v>7032.9142676936244</v>
      </c>
    </row>
    <row r="21" spans="1:10" x14ac:dyDescent="0.2">
      <c r="A21" s="24">
        <f t="shared" si="0"/>
        <v>-2.4999999999999922E-3</v>
      </c>
      <c r="B21">
        <v>28</v>
      </c>
      <c r="C21">
        <f>(_xlfn.NORM.DIST(A21,AVERAGE(Calculation!$N$16:$N$1252),_xlfn.STDEV.S(Calculation!$N$16:$N$1252),FALSE))*0.0025*COUNT(Calculation!$N$16:$N$1252)</f>
        <v>23.761933134170398</v>
      </c>
      <c r="E21" s="56">
        <f>Calculation!B35</f>
        <v>46157</v>
      </c>
      <c r="F21">
        <f>F22*(1+Calculation!N35)</f>
        <v>532560.55434351636</v>
      </c>
      <c r="G21" s="3">
        <f>Calculation!$C$10</f>
        <v>500000</v>
      </c>
      <c r="H21" s="3"/>
      <c r="I21" s="79">
        <f ca="1">ABS(PERCENTILE(OFFSET(Calculation!$N$16, ROW()-2, 0, 30, 1), 0.05))*500000</f>
        <v>5817.3162043260872</v>
      </c>
      <c r="J21" s="81">
        <f ca="1">ABS(PERCENTILE(OFFSET(Calculation!$N$16, ROW()-2, 0, 30, 1), 0.01))*500000</f>
        <v>7032.9142676936244</v>
      </c>
    </row>
    <row r="22" spans="1:10" x14ac:dyDescent="0.2">
      <c r="A22" s="24">
        <f t="shared" si="0"/>
        <v>7.8062556418956319E-18</v>
      </c>
      <c r="B22">
        <v>33</v>
      </c>
      <c r="C22">
        <f>(_xlfn.NORM.DIST(A22,AVERAGE(Calculation!$N$16:$N$1252),_xlfn.STDEV.S(Calculation!$N$16:$N$1252),FALSE))*0.0025*COUNT(Calculation!$N$16:$N$1252)</f>
        <v>24.712807844471524</v>
      </c>
      <c r="E22" s="56">
        <f>Calculation!B36</f>
        <v>46156</v>
      </c>
      <c r="F22">
        <f>F23*(1+Calculation!N36)</f>
        <v>538230.93393387203</v>
      </c>
      <c r="G22" s="3">
        <f>Calculation!$C$10</f>
        <v>500000</v>
      </c>
      <c r="H22" s="3"/>
      <c r="I22" s="79">
        <f ca="1">ABS(PERCENTILE(OFFSET(Calculation!$N$16, ROW()-2, 0, 30, 1), 0.05))*500000</f>
        <v>6784.8404363350146</v>
      </c>
      <c r="J22" s="81">
        <f ca="1">ABS(PERCENTILE(OFFSET(Calculation!$N$16, ROW()-2, 0, 30, 1), 0.01))*500000</f>
        <v>9731.6770506564335</v>
      </c>
    </row>
    <row r="23" spans="1:10" x14ac:dyDescent="0.2">
      <c r="A23" s="24">
        <f t="shared" si="0"/>
        <v>2.5000000000000079E-3</v>
      </c>
      <c r="B23">
        <v>35</v>
      </c>
      <c r="C23">
        <f>(_xlfn.NORM.DIST(A23,AVERAGE(Calculation!$N$16:$N$1252),_xlfn.STDEV.S(Calculation!$N$16:$N$1252),FALSE))*0.0025*COUNT(Calculation!$N$16:$N$1252)</f>
        <v>24.121238700601051</v>
      </c>
      <c r="E23" s="56">
        <f>Calculation!B37</f>
        <v>46155</v>
      </c>
      <c r="F23">
        <f>F24*(1+Calculation!N37)</f>
        <v>531214.90122865653</v>
      </c>
      <c r="G23" s="3">
        <f>Calculation!$C$10</f>
        <v>500000</v>
      </c>
      <c r="H23" s="3"/>
      <c r="I23" s="79">
        <f ca="1">ABS(PERCENTILE(OFFSET(Calculation!$N$16, ROW()-2, 0, 30, 1), 0.05))*500000</f>
        <v>8108.8441074151897</v>
      </c>
      <c r="J23" s="81">
        <f ca="1">ABS(PERCENTILE(OFFSET(Calculation!$N$16, ROW()-2, 0, 30, 1), 0.01))*500000</f>
        <v>10061.905861404406</v>
      </c>
    </row>
    <row r="24" spans="1:10" x14ac:dyDescent="0.2">
      <c r="A24" s="24">
        <f t="shared" si="0"/>
        <v>5.0000000000000079E-3</v>
      </c>
      <c r="B24">
        <v>26</v>
      </c>
      <c r="C24">
        <f>(_xlfn.NORM.DIST(A24,AVERAGE(Calculation!$N$16:$N$1252),_xlfn.STDEV.S(Calculation!$N$16:$N$1252),FALSE))*0.0025*COUNT(Calculation!$N$16:$N$1252)</f>
        <v>22.096033097221778</v>
      </c>
      <c r="E24" s="56">
        <f>Calculation!B38</f>
        <v>46154</v>
      </c>
      <c r="F24">
        <f>F25*(1+Calculation!N38)</f>
        <v>529336.59028549062</v>
      </c>
      <c r="G24" s="3">
        <f>Calculation!$C$10</f>
        <v>500000</v>
      </c>
      <c r="H24" s="3"/>
      <c r="I24" s="79">
        <f ca="1">ABS(PERCENTILE(OFFSET(Calculation!$N$16, ROW()-2, 0, 30, 1), 0.05))*500000</f>
        <v>8108.8441074151897</v>
      </c>
      <c r="J24" s="81">
        <f ca="1">ABS(PERCENTILE(OFFSET(Calculation!$N$16, ROW()-2, 0, 30, 1), 0.01))*500000</f>
        <v>10061.905861404406</v>
      </c>
    </row>
    <row r="25" spans="1:10" x14ac:dyDescent="0.2">
      <c r="A25" s="24">
        <f t="shared" si="0"/>
        <v>7.5000000000000084E-3</v>
      </c>
      <c r="B25">
        <v>16</v>
      </c>
      <c r="C25">
        <f>(_xlfn.NORM.DIST(A25,AVERAGE(Calculation!$N$16:$N$1252),_xlfn.STDEV.S(Calculation!$N$16:$N$1252),FALSE))*0.0025*COUNT(Calculation!$N$16:$N$1252)</f>
        <v>18.99617703506199</v>
      </c>
      <c r="E25" s="56">
        <f>Calculation!B39</f>
        <v>46153</v>
      </c>
      <c r="F25">
        <f>F26*(1+Calculation!N39)</f>
        <v>535692.13459618681</v>
      </c>
      <c r="G25" s="3">
        <f>Calculation!$C$10</f>
        <v>500000</v>
      </c>
      <c r="H25" s="3"/>
      <c r="I25" s="79">
        <f ca="1">ABS(PERCENTILE(OFFSET(Calculation!$N$16, ROW()-2, 0, 30, 1), 0.05))*500000</f>
        <v>8108.8441074151897</v>
      </c>
      <c r="J25" s="81">
        <f ca="1">ABS(PERCENTILE(OFFSET(Calculation!$N$16, ROW()-2, 0, 30, 1), 0.01))*500000</f>
        <v>10061.905861404406</v>
      </c>
    </row>
    <row r="26" spans="1:10" x14ac:dyDescent="0.2">
      <c r="A26" s="24">
        <f t="shared" si="0"/>
        <v>1.0000000000000009E-2</v>
      </c>
      <c r="B26">
        <v>12</v>
      </c>
      <c r="C26">
        <f>(_xlfn.NORM.DIST(A26,AVERAGE(Calculation!$N$16:$N$1252),_xlfn.STDEV.S(Calculation!$N$16:$N$1252),FALSE))*0.0025*COUNT(Calculation!$N$16:$N$1252)</f>
        <v>15.326934313898693</v>
      </c>
      <c r="E26" s="56">
        <f>Calculation!B40</f>
        <v>46150</v>
      </c>
      <c r="F26">
        <f>F27*(1+Calculation!N40)</f>
        <v>541844.27921871108</v>
      </c>
      <c r="G26" s="3">
        <f>Calculation!$C$10</f>
        <v>500000</v>
      </c>
      <c r="H26" s="3"/>
      <c r="I26" s="79">
        <f ca="1">ABS(PERCENTILE(OFFSET(Calculation!$N$16, ROW()-2, 0, 30, 1), 0.05))*500000</f>
        <v>9737.255103700445</v>
      </c>
      <c r="J26" s="81">
        <f ca="1">ABS(PERCENTILE(OFFSET(Calculation!$N$16, ROW()-2, 0, 30, 1), 0.01))*500000</f>
        <v>13981.053686302446</v>
      </c>
    </row>
    <row r="27" spans="1:10" x14ac:dyDescent="0.2">
      <c r="A27" s="24">
        <f t="shared" si="0"/>
        <v>1.2500000000000009E-2</v>
      </c>
      <c r="B27">
        <v>11</v>
      </c>
      <c r="C27">
        <f>(_xlfn.NORM.DIST(A27,AVERAGE(Calculation!$N$16:$N$1252),_xlfn.STDEV.S(Calculation!$N$16:$N$1252),FALSE))*0.0025*COUNT(Calculation!$N$16:$N$1252)</f>
        <v>11.605973516800113</v>
      </c>
      <c r="E27" s="56">
        <f>Calculation!B41</f>
        <v>46149</v>
      </c>
      <c r="F27">
        <f>F28*(1+Calculation!N41)</f>
        <v>540420.28178653878</v>
      </c>
      <c r="G27" s="3">
        <f>Calculation!$C$10</f>
        <v>500000</v>
      </c>
      <c r="H27" s="3"/>
      <c r="I27" s="79">
        <f ca="1">ABS(PERCENTILE(OFFSET(Calculation!$N$16, ROW()-2, 0, 30, 1), 0.05))*500000</f>
        <v>9737.255103700445</v>
      </c>
      <c r="J27" s="81">
        <f ca="1">ABS(PERCENTILE(OFFSET(Calculation!$N$16, ROW()-2, 0, 30, 1), 0.01))*500000</f>
        <v>13981.053686302446</v>
      </c>
    </row>
    <row r="28" spans="1:10" x14ac:dyDescent="0.2">
      <c r="A28" s="24">
        <f t="shared" si="0"/>
        <v>1.500000000000001E-2</v>
      </c>
      <c r="B28">
        <v>10</v>
      </c>
      <c r="C28">
        <f>(_xlfn.NORM.DIST(A28,AVERAGE(Calculation!$N$16:$N$1252),_xlfn.STDEV.S(Calculation!$N$16:$N$1252),FALSE))*0.0025*COUNT(Calculation!$N$16:$N$1252)</f>
        <v>8.247931502101931</v>
      </c>
      <c r="E28" s="56">
        <f>Calculation!B42</f>
        <v>46148</v>
      </c>
      <c r="F28">
        <f>F29*(1+Calculation!N42)</f>
        <v>535039.58769385435</v>
      </c>
      <c r="G28" s="3">
        <f>Calculation!$C$10</f>
        <v>500000</v>
      </c>
      <c r="H28" s="3"/>
      <c r="I28" s="79">
        <f ca="1">ABS(PERCENTILE(OFFSET(Calculation!$N$16, ROW()-2, 0, 30, 1), 0.05))*500000</f>
        <v>13230.469274683377</v>
      </c>
      <c r="J28" s="81">
        <f ca="1">ABS(PERCENTILE(OFFSET(Calculation!$N$16, ROW()-2, 0, 30, 1), 0.01))*500000</f>
        <v>16016.893935809992</v>
      </c>
    </row>
    <row r="29" spans="1:10" x14ac:dyDescent="0.2">
      <c r="A29" s="24">
        <f t="shared" si="0"/>
        <v>1.7500000000000009E-2</v>
      </c>
      <c r="B29">
        <v>8</v>
      </c>
      <c r="C29">
        <f>(_xlfn.NORM.DIST(A29,AVERAGE(Calculation!$N$16:$N$1252),_xlfn.STDEV.S(Calculation!$N$16:$N$1252),FALSE))*0.0025*COUNT(Calculation!$N$16:$N$1252)</f>
        <v>5.5010514533337078</v>
      </c>
      <c r="E29" s="56">
        <f>Calculation!B43</f>
        <v>46147</v>
      </c>
      <c r="F29">
        <f>F30*(1+Calculation!N43)</f>
        <v>525799.54787767061</v>
      </c>
      <c r="G29" s="3">
        <f>Calculation!$C$10</f>
        <v>500000</v>
      </c>
      <c r="H29" s="3"/>
      <c r="I29" s="79">
        <f ca="1">ABS(PERCENTILE(OFFSET(Calculation!$N$16, ROW()-2, 0, 30, 1), 0.05))*500000</f>
        <v>13230.469274683377</v>
      </c>
      <c r="J29" s="81">
        <f ca="1">ABS(PERCENTILE(OFFSET(Calculation!$N$16, ROW()-2, 0, 30, 1), 0.01))*500000</f>
        <v>16016.893935809992</v>
      </c>
    </row>
    <row r="30" spans="1:10" x14ac:dyDescent="0.2">
      <c r="A30" s="24">
        <f t="shared" si="0"/>
        <v>2.0000000000000007E-2</v>
      </c>
      <c r="B30">
        <v>6</v>
      </c>
      <c r="C30">
        <f>(_xlfn.NORM.DIST(A30,AVERAGE(Calculation!$N$16:$N$1252),_xlfn.STDEV.S(Calculation!$N$16:$N$1252),FALSE))*0.0025*COUNT(Calculation!$N$16:$N$1252)</f>
        <v>3.4433689571274924</v>
      </c>
      <c r="E30" s="56">
        <f>Calculation!B44</f>
        <v>46146</v>
      </c>
      <c r="F30">
        <f>F31*(1+Calculation!N44)</f>
        <v>521959.32822603866</v>
      </c>
      <c r="G30" s="3">
        <f>Calculation!$C$10</f>
        <v>500000</v>
      </c>
      <c r="H30" s="3"/>
      <c r="I30" s="79">
        <f ca="1">ABS(PERCENTILE(OFFSET(Calculation!$N$16, ROW()-2, 0, 30, 1), 0.05))*500000</f>
        <v>13230.469274683377</v>
      </c>
      <c r="J30" s="81">
        <f ca="1">ABS(PERCENTILE(OFFSET(Calculation!$N$16, ROW()-2, 0, 30, 1), 0.01))*500000</f>
        <v>16016.893935809992</v>
      </c>
    </row>
    <row r="31" spans="1:10" x14ac:dyDescent="0.2">
      <c r="A31" s="24">
        <f t="shared" si="0"/>
        <v>2.2500000000000006E-2</v>
      </c>
      <c r="B31">
        <v>3</v>
      </c>
      <c r="C31">
        <f>(_xlfn.NORM.DIST(A31,AVERAGE(Calculation!$N$16:$N$1252),_xlfn.STDEV.S(Calculation!$N$16:$N$1252),FALSE))*0.0025*COUNT(Calculation!$N$16:$N$1252)</f>
        <v>2.0228263576266885</v>
      </c>
      <c r="E31" s="56">
        <f>Calculation!B45</f>
        <v>46142</v>
      </c>
      <c r="F31">
        <f>F32*(1+Calculation!N45)</f>
        <v>520010.22357823205</v>
      </c>
      <c r="G31" s="3">
        <f>Calculation!$C$10</f>
        <v>500000</v>
      </c>
      <c r="H31" s="3"/>
      <c r="I31" s="79">
        <f ca="1">ABS(PERCENTILE(OFFSET(Calculation!$N$16, ROW()-2, 0, 30, 1), 0.05))*500000</f>
        <v>13230.469274683377</v>
      </c>
      <c r="J31" s="81">
        <f ca="1">ABS(PERCENTILE(OFFSET(Calculation!$N$16, ROW()-2, 0, 30, 1), 0.01))*500000</f>
        <v>16016.893935809992</v>
      </c>
    </row>
    <row r="32" spans="1:10" x14ac:dyDescent="0.2">
      <c r="A32" s="24">
        <f t="shared" si="0"/>
        <v>2.5000000000000005E-2</v>
      </c>
      <c r="B32">
        <v>0</v>
      </c>
      <c r="C32">
        <f>(_xlfn.NORM.DIST(A32,AVERAGE(Calculation!$N$16:$N$1252),_xlfn.STDEV.S(Calculation!$N$16:$N$1252),FALSE))*0.0025*COUNT(Calculation!$N$16:$N$1252)</f>
        <v>1.1152464234862307</v>
      </c>
      <c r="E32" s="56">
        <f>Calculation!B46</f>
        <v>46141</v>
      </c>
      <c r="F32">
        <f>F33*(1+Calculation!N46)</f>
        <v>525331.55041110504</v>
      </c>
      <c r="G32" s="3">
        <f>Calculation!$C$10</f>
        <v>500000</v>
      </c>
      <c r="H32" s="3"/>
      <c r="I32" s="79">
        <f ca="1">ABS(PERCENTILE(OFFSET(Calculation!$N$16, ROW()-2, 0, 30, 1), 0.05))*500000</f>
        <v>15842.060117357136</v>
      </c>
      <c r="J32" s="81">
        <f ca="1">ABS(PERCENTILE(OFFSET(Calculation!$N$16, ROW()-2, 0, 30, 1), 0.01))*500000</f>
        <v>16280.831996989244</v>
      </c>
    </row>
    <row r="33" spans="1:10" x14ac:dyDescent="0.2">
      <c r="A33" s="24">
        <f t="shared" si="0"/>
        <v>2.7500000000000004E-2</v>
      </c>
      <c r="B33">
        <v>0</v>
      </c>
      <c r="C33">
        <f>(_xlfn.NORM.DIST(A33,AVERAGE(Calculation!$N$16:$N$1252),_xlfn.STDEV.S(Calculation!$N$16:$N$1252),FALSE))*0.0025*COUNT(Calculation!$N$16:$N$1252)</f>
        <v>0.57705906226458425</v>
      </c>
      <c r="E33" s="56">
        <f>Calculation!B47</f>
        <v>46140</v>
      </c>
      <c r="F33">
        <f>F34*(1+Calculation!N47)</f>
        <v>524788.57244185824</v>
      </c>
      <c r="G33" s="3">
        <f>Calculation!$C$10</f>
        <v>500000</v>
      </c>
      <c r="H33" s="3"/>
      <c r="I33" s="79">
        <f ca="1">ABS(PERCENTILE(OFFSET(Calculation!$N$16, ROW()-2, 0, 30, 1), 0.05))*500000</f>
        <v>15842.060117357136</v>
      </c>
      <c r="J33" s="81">
        <f ca="1">ABS(PERCENTILE(OFFSET(Calculation!$N$16, ROW()-2, 0, 30, 1), 0.01))*500000</f>
        <v>16280.831996989244</v>
      </c>
    </row>
    <row r="34" spans="1:10" x14ac:dyDescent="0.2">
      <c r="A34" s="24">
        <f t="shared" si="0"/>
        <v>3.0000000000000002E-2</v>
      </c>
      <c r="B34">
        <v>0</v>
      </c>
      <c r="C34">
        <f>(_xlfn.NORM.DIST(A34,AVERAGE(Calculation!$N$16:$N$1252),_xlfn.STDEV.S(Calculation!$N$16:$N$1252),FALSE))*0.0025*COUNT(Calculation!$N$16:$N$1252)</f>
        <v>0.28022500360437513</v>
      </c>
      <c r="E34" s="56">
        <f>Calculation!B48</f>
        <v>46139</v>
      </c>
      <c r="F34">
        <f>F35*(1+Calculation!N48)</f>
        <v>525542.63200879912</v>
      </c>
      <c r="G34" s="3">
        <f>Calculation!$C$10</f>
        <v>500000</v>
      </c>
      <c r="H34" s="3"/>
      <c r="I34" s="79">
        <f ca="1">ABS(PERCENTILE(OFFSET(Calculation!$N$16, ROW()-2, 0, 30, 1), 0.05))*500000</f>
        <v>15842.060117357136</v>
      </c>
      <c r="J34" s="81">
        <f ca="1">ABS(PERCENTILE(OFFSET(Calculation!$N$16, ROW()-2, 0, 30, 1), 0.01))*500000</f>
        <v>16280.831996989244</v>
      </c>
    </row>
    <row r="35" spans="1:10" x14ac:dyDescent="0.2">
      <c r="A35" s="24">
        <f t="shared" si="0"/>
        <v>3.2500000000000001E-2</v>
      </c>
      <c r="B35">
        <v>0</v>
      </c>
      <c r="C35">
        <f>(_xlfn.NORM.DIST(A35,AVERAGE(Calculation!$N$16:$N$1252),_xlfn.STDEV.S(Calculation!$N$16:$N$1252),FALSE))*0.0025*COUNT(Calculation!$N$16:$N$1252)</f>
        <v>0.12771170190634773</v>
      </c>
      <c r="E35" s="56">
        <f>Calculation!B49</f>
        <v>46136</v>
      </c>
      <c r="F35">
        <f>F36*(1+Calculation!N49)</f>
        <v>522072.25480542809</v>
      </c>
      <c r="G35" s="3">
        <f>Calculation!$C$10</f>
        <v>500000</v>
      </c>
      <c r="H35" s="3"/>
      <c r="I35" s="79">
        <f ca="1">ABS(PERCENTILE(OFFSET(Calculation!$N$16, ROW()-2, 0, 30, 1), 0.05))*500000</f>
        <v>15842.060117357136</v>
      </c>
      <c r="J35" s="81">
        <f ca="1">ABS(PERCENTILE(OFFSET(Calculation!$N$16, ROW()-2, 0, 30, 1), 0.01))*500000</f>
        <v>16280.831996989244</v>
      </c>
    </row>
    <row r="36" spans="1:10" x14ac:dyDescent="0.2">
      <c r="A36" s="24">
        <f t="shared" si="0"/>
        <v>3.5000000000000003E-2</v>
      </c>
      <c r="B36">
        <v>1</v>
      </c>
      <c r="C36">
        <f>(_xlfn.NORM.DIST(A36,AVERAGE(Calculation!$N$16:$N$1252),_xlfn.STDEV.S(Calculation!$N$16:$N$1252),FALSE))*0.0025*COUNT(Calculation!$N$16:$N$1252)</f>
        <v>5.4625030521970395E-2</v>
      </c>
      <c r="E36" s="56">
        <f>Calculation!B50</f>
        <v>46135</v>
      </c>
      <c r="F36">
        <f>F37*(1+Calculation!N50)</f>
        <v>525735.0679513549</v>
      </c>
      <c r="G36" s="3">
        <f>Calculation!$C$10</f>
        <v>500000</v>
      </c>
      <c r="H36" s="3"/>
      <c r="I36" s="79">
        <f ca="1">ABS(PERCENTILE(OFFSET(Calculation!$N$16, ROW()-2, 0, 30, 1), 0.05))*500000</f>
        <v>15842.060117357136</v>
      </c>
      <c r="J36" s="81">
        <f ca="1">ABS(PERCENTILE(OFFSET(Calculation!$N$16, ROW()-2, 0, 30, 1), 0.01))*500000</f>
        <v>16280.831996989244</v>
      </c>
    </row>
    <row r="37" spans="1:10" x14ac:dyDescent="0.2">
      <c r="A37" s="24">
        <f t="shared" si="0"/>
        <v>3.7500000000000006E-2</v>
      </c>
      <c r="B37">
        <v>0</v>
      </c>
      <c r="C37">
        <f>(_xlfn.NORM.DIST(A37,AVERAGE(Calculation!$N$16:$N$1252),_xlfn.STDEV.S(Calculation!$N$16:$N$1252),FALSE))*0.0025*COUNT(Calculation!$N$16:$N$1252)</f>
        <v>2.192753859618838E-2</v>
      </c>
      <c r="E37" s="56">
        <f>Calculation!B51</f>
        <v>46134</v>
      </c>
      <c r="F37">
        <f>F38*(1+Calculation!N51)</f>
        <v>525727.21714561456</v>
      </c>
      <c r="G37" s="3">
        <f>Calculation!$C$10</f>
        <v>500000</v>
      </c>
      <c r="H37" s="3"/>
      <c r="I37" s="79">
        <f ca="1">ABS(PERCENTILE(OFFSET(Calculation!$N$16, ROW()-2, 0, 30, 1), 0.05))*500000</f>
        <v>15842.060117357136</v>
      </c>
      <c r="J37" s="81">
        <f ca="1">ABS(PERCENTILE(OFFSET(Calculation!$N$16, ROW()-2, 0, 30, 1), 0.01))*500000</f>
        <v>16280.831996989244</v>
      </c>
    </row>
    <row r="38" spans="1:10" x14ac:dyDescent="0.2">
      <c r="A38" s="24">
        <f t="shared" si="0"/>
        <v>4.0000000000000008E-2</v>
      </c>
      <c r="B38">
        <v>0</v>
      </c>
      <c r="C38">
        <f>(_xlfn.NORM.DIST(A38,AVERAGE(Calculation!$N$16:$N$1252),_xlfn.STDEV.S(Calculation!$N$16:$N$1252),FALSE))*0.0025*COUNT(Calculation!$N$16:$N$1252)</f>
        <v>8.260860090477164E-3</v>
      </c>
      <c r="E38" s="56">
        <f>Calculation!B52</f>
        <v>46133</v>
      </c>
      <c r="F38">
        <f>F39*(1+Calculation!N52)</f>
        <v>523049.55441418715</v>
      </c>
      <c r="G38" s="3">
        <f>Calculation!$C$10</f>
        <v>500000</v>
      </c>
      <c r="H38" s="3"/>
      <c r="I38" s="79">
        <f ca="1">ABS(PERCENTILE(OFFSET(Calculation!$N$16, ROW()-2, 0, 30, 1), 0.05))*500000</f>
        <v>15842.060117357136</v>
      </c>
      <c r="J38" s="81">
        <f ca="1">ABS(PERCENTILE(OFFSET(Calculation!$N$16, ROW()-2, 0, 30, 1), 0.01))*500000</f>
        <v>16280.831996989244</v>
      </c>
    </row>
    <row r="39" spans="1:10" x14ac:dyDescent="0.2">
      <c r="A39" s="24">
        <f t="shared" si="0"/>
        <v>4.250000000000001E-2</v>
      </c>
      <c r="B39">
        <v>0</v>
      </c>
      <c r="C39">
        <f>(_xlfn.NORM.DIST(A39,AVERAGE(Calculation!$N$16:$N$1252),_xlfn.STDEV.S(Calculation!$N$16:$N$1252),FALSE))*0.0025*COUNT(Calculation!$N$16:$N$1252)</f>
        <v>2.9207732386792428E-3</v>
      </c>
      <c r="E39" s="56">
        <f>Calculation!B53</f>
        <v>46132</v>
      </c>
      <c r="F39">
        <f>F40*(1+Calculation!N53)</f>
        <v>512672.18100038805</v>
      </c>
      <c r="G39" s="3">
        <f>Calculation!$C$10</f>
        <v>500000</v>
      </c>
      <c r="H39" s="3"/>
      <c r="I39" s="79">
        <f ca="1">ABS(PERCENTILE(OFFSET(Calculation!$N$16, ROW()-2, 0, 30, 1), 0.05))*500000</f>
        <v>15842.060117357136</v>
      </c>
      <c r="J39" s="81">
        <f ca="1">ABS(PERCENTILE(OFFSET(Calculation!$N$16, ROW()-2, 0, 30, 1), 0.01))*500000</f>
        <v>16280.831996989244</v>
      </c>
    </row>
    <row r="40" spans="1:10" x14ac:dyDescent="0.2">
      <c r="A40" s="24">
        <f t="shared" si="0"/>
        <v>4.5000000000000012E-2</v>
      </c>
      <c r="B40">
        <v>0</v>
      </c>
      <c r="C40">
        <f>(_xlfn.NORM.DIST(A40,AVERAGE(Calculation!$N$16:$N$1252),_xlfn.STDEV.S(Calculation!$N$16:$N$1252),FALSE))*0.0025*COUNT(Calculation!$N$16:$N$1252)</f>
        <v>9.6918705754862704E-4</v>
      </c>
      <c r="E40" s="56">
        <f>Calculation!B54</f>
        <v>46129</v>
      </c>
      <c r="F40">
        <f>F41*(1+Calculation!N54)</f>
        <v>510942.44638711389</v>
      </c>
      <c r="G40" s="3">
        <f>Calculation!$C$10</f>
        <v>500000</v>
      </c>
      <c r="H40" s="3"/>
      <c r="I40" s="79">
        <f ca="1">ABS(PERCENTILE(OFFSET(Calculation!$N$16, ROW()-2, 0, 30, 1), 0.05))*500000</f>
        <v>15842.060117357136</v>
      </c>
      <c r="J40" s="81">
        <f ca="1">ABS(PERCENTILE(OFFSET(Calculation!$N$16, ROW()-2, 0, 30, 1), 0.01))*500000</f>
        <v>16280.831996989244</v>
      </c>
    </row>
    <row r="41" spans="1:10" x14ac:dyDescent="0.2">
      <c r="A41" s="24">
        <f t="shared" si="0"/>
        <v>4.7500000000000014E-2</v>
      </c>
      <c r="B41">
        <v>0</v>
      </c>
      <c r="C41">
        <f>(_xlfn.NORM.DIST(A41,AVERAGE(Calculation!$N$16:$N$1252),_xlfn.STDEV.S(Calculation!$N$16:$N$1252),FALSE))*0.0025*COUNT(Calculation!$N$16:$N$1252)</f>
        <v>3.0182455041691389E-4</v>
      </c>
      <c r="E41" s="56">
        <f>Calculation!B55</f>
        <v>46128</v>
      </c>
      <c r="F41">
        <f>F42*(1+Calculation!N55)</f>
        <v>504483.28630195255</v>
      </c>
      <c r="G41" s="3">
        <f>Calculation!$C$10</f>
        <v>500000</v>
      </c>
      <c r="H41" s="3"/>
      <c r="I41" s="79">
        <f ca="1">ABS(PERCENTILE(OFFSET(Calculation!$N$16, ROW()-2, 0, 30, 1), 0.05))*500000</f>
        <v>15842.060117357136</v>
      </c>
      <c r="J41" s="81">
        <f ca="1">ABS(PERCENTILE(OFFSET(Calculation!$N$16, ROW()-2, 0, 30, 1), 0.01))*500000</f>
        <v>16280.831996989244</v>
      </c>
    </row>
    <row r="42" spans="1:10" x14ac:dyDescent="0.2">
      <c r="A42" s="24">
        <f t="shared" si="0"/>
        <v>5.0000000000000017E-2</v>
      </c>
      <c r="B42">
        <v>0</v>
      </c>
      <c r="C42">
        <f>(_xlfn.NORM.DIST(A42,AVERAGE(Calculation!$N$16:$N$1252),_xlfn.STDEV.S(Calculation!$N$16:$N$1252),FALSE))*0.0025*COUNT(Calculation!$N$16:$N$1252)</f>
        <v>8.8214242684523322E-5</v>
      </c>
      <c r="E42" s="56">
        <f>Calculation!B56</f>
        <v>46127</v>
      </c>
      <c r="F42">
        <f>F43*(1+Calculation!N56)</f>
        <v>501017.73476540373</v>
      </c>
      <c r="G42" s="3">
        <f>Calculation!$C$10</f>
        <v>500000</v>
      </c>
      <c r="H42" s="3"/>
      <c r="I42" s="79">
        <f ca="1">ABS(PERCENTILE(OFFSET(Calculation!$N$16, ROW()-2, 0, 30, 1), 0.05))*500000</f>
        <v>15842.060117357136</v>
      </c>
      <c r="J42" s="81">
        <f ca="1">ABS(PERCENTILE(OFFSET(Calculation!$N$16, ROW()-2, 0, 30, 1), 0.01))*500000</f>
        <v>16280.831996989244</v>
      </c>
    </row>
    <row r="43" spans="1:10" x14ac:dyDescent="0.2">
      <c r="E43" s="56">
        <f>Calculation!B57</f>
        <v>46125</v>
      </c>
      <c r="F43">
        <f>F44*(1+Calculation!N57)</f>
        <v>493082.29123978387</v>
      </c>
      <c r="G43" s="3">
        <f>Calculation!$C$10</f>
        <v>500000</v>
      </c>
      <c r="H43" s="3"/>
      <c r="I43" s="79">
        <f ca="1">ABS(PERCENTILE(OFFSET(Calculation!$N$16, ROW()-2, 0, 30, 1), 0.05))*500000</f>
        <v>15842.060117357136</v>
      </c>
      <c r="J43" s="81">
        <f ca="1">ABS(PERCENTILE(OFFSET(Calculation!$N$16, ROW()-2, 0, 30, 1), 0.01))*500000</f>
        <v>16280.831996989244</v>
      </c>
    </row>
    <row r="44" spans="1:10" x14ac:dyDescent="0.2">
      <c r="E44" s="56">
        <f>Calculation!B58</f>
        <v>46122</v>
      </c>
      <c r="F44">
        <f>F45*(1+Calculation!N58)</f>
        <v>500573.42062156484</v>
      </c>
      <c r="G44" s="3">
        <f>Calculation!$C$10</f>
        <v>500000</v>
      </c>
      <c r="H44" s="3"/>
      <c r="I44" s="79">
        <f ca="1">ABS(PERCENTILE(OFFSET(Calculation!$N$16, ROW()-2, 0, 30, 1), 0.05))*500000</f>
        <v>15842.060117357136</v>
      </c>
      <c r="J44" s="81">
        <f ca="1">ABS(PERCENTILE(OFFSET(Calculation!$N$16, ROW()-2, 0, 30, 1), 0.01))*500000</f>
        <v>16280.831996989244</v>
      </c>
    </row>
    <row r="45" spans="1:10" x14ac:dyDescent="0.2">
      <c r="E45" s="56">
        <f>Calculation!B59</f>
        <v>46121</v>
      </c>
      <c r="F45">
        <f>F46*(1+Calculation!N59)</f>
        <v>492945.66946074966</v>
      </c>
      <c r="G45" s="3">
        <f>Calculation!$C$10</f>
        <v>500000</v>
      </c>
      <c r="H45" s="3"/>
      <c r="I45" s="79">
        <f ca="1">ABS(PERCENTILE(OFFSET(Calculation!$N$16, ROW()-2, 0, 30, 1), 0.05))*500000</f>
        <v>15842.060117357136</v>
      </c>
      <c r="J45" s="81">
        <f ca="1">ABS(PERCENTILE(OFFSET(Calculation!$N$16, ROW()-2, 0, 30, 1), 0.01))*500000</f>
        <v>16280.831996989244</v>
      </c>
    </row>
    <row r="46" spans="1:10" x14ac:dyDescent="0.2">
      <c r="E46" s="56">
        <f>Calculation!B60</f>
        <v>46120</v>
      </c>
      <c r="F46">
        <f>F47*(1+Calculation!N60)</f>
        <v>490168.75254649366</v>
      </c>
      <c r="G46" s="3">
        <f>Calculation!$C$10</f>
        <v>500000</v>
      </c>
      <c r="H46" s="3"/>
      <c r="I46" s="79">
        <f ca="1">ABS(PERCENTILE(OFFSET(Calculation!$N$16, ROW()-2, 0, 30, 1), 0.05))*500000</f>
        <v>15842.060117357136</v>
      </c>
      <c r="J46" s="81">
        <f ca="1">ABS(PERCENTILE(OFFSET(Calculation!$N$16, ROW()-2, 0, 30, 1), 0.01))*500000</f>
        <v>16280.831996989244</v>
      </c>
    </row>
    <row r="47" spans="1:10" x14ac:dyDescent="0.2">
      <c r="E47" s="56">
        <f>Calculation!B61</f>
        <v>46119</v>
      </c>
      <c r="F47">
        <f>F48*(1+Calculation!N61)</f>
        <v>473669.04967484053</v>
      </c>
      <c r="G47" s="3">
        <f>Calculation!$C$10</f>
        <v>500000</v>
      </c>
      <c r="H47" s="3"/>
      <c r="I47" s="79">
        <f ca="1">ABS(PERCENTILE(OFFSET(Calculation!$N$16, ROW()-2, 0, 30, 1), 0.05))*500000</f>
        <v>15842.060117357136</v>
      </c>
      <c r="J47" s="81">
        <f ca="1">ABS(PERCENTILE(OFFSET(Calculation!$N$16, ROW()-2, 0, 30, 1), 0.01))*500000</f>
        <v>16280.831996989244</v>
      </c>
    </row>
    <row r="48" spans="1:10" x14ac:dyDescent="0.2">
      <c r="E48" s="56">
        <f>Calculation!B62</f>
        <v>46118</v>
      </c>
      <c r="F48">
        <f>F49*(1+Calculation!N62)</f>
        <v>472589.61074067681</v>
      </c>
      <c r="G48" s="3">
        <f>Calculation!$C$10</f>
        <v>500000</v>
      </c>
      <c r="H48" s="3"/>
      <c r="I48" s="79">
        <f ca="1">ABS(PERCENTILE(OFFSET(Calculation!$N$16, ROW()-2, 0, 30, 1), 0.05))*500000</f>
        <v>15842.060117357136</v>
      </c>
      <c r="J48" s="81">
        <f ca="1">ABS(PERCENTILE(OFFSET(Calculation!$N$16, ROW()-2, 0, 30, 1), 0.01))*500000</f>
        <v>16280.831996989244</v>
      </c>
    </row>
    <row r="49" spans="5:10" x14ac:dyDescent="0.2">
      <c r="E49" s="56">
        <f>Calculation!B63</f>
        <v>46114</v>
      </c>
      <c r="F49">
        <f>F50*(1+Calculation!N63)</f>
        <v>463406.58119057375</v>
      </c>
      <c r="G49" s="3">
        <f>Calculation!$C$10</f>
        <v>500000</v>
      </c>
      <c r="H49" s="3"/>
      <c r="I49" s="79">
        <f ca="1">ABS(PERCENTILE(OFFSET(Calculation!$N$16, ROW()-2, 0, 30, 1), 0.05))*500000</f>
        <v>15842.060117357136</v>
      </c>
      <c r="J49" s="81">
        <f ca="1">ABS(PERCENTILE(OFFSET(Calculation!$N$16, ROW()-2, 0, 30, 1), 0.01))*500000</f>
        <v>16280.831996989244</v>
      </c>
    </row>
    <row r="50" spans="5:10" x14ac:dyDescent="0.2">
      <c r="E50" s="56">
        <f>Calculation!B64</f>
        <v>46113</v>
      </c>
      <c r="F50">
        <f>F51*(1+Calculation!N64)</f>
        <v>462054.15677939449</v>
      </c>
      <c r="G50" s="3">
        <f>Calculation!$C$10</f>
        <v>500000</v>
      </c>
      <c r="H50" s="3"/>
      <c r="I50" s="79">
        <f ca="1">ABS(PERCENTILE(OFFSET(Calculation!$N$16, ROW()-2, 0, 30, 1), 0.05))*500000</f>
        <v>15842.060117357136</v>
      </c>
      <c r="J50" s="81">
        <f ca="1">ABS(PERCENTILE(OFFSET(Calculation!$N$16, ROW()-2, 0, 30, 1), 0.01))*500000</f>
        <v>16280.831996989244</v>
      </c>
    </row>
    <row r="51" spans="5:10" x14ac:dyDescent="0.2">
      <c r="E51" s="56">
        <f>Calculation!B65</f>
        <v>46111</v>
      </c>
      <c r="F51">
        <f>F52*(1+Calculation!N65)</f>
        <v>455172.11275889509</v>
      </c>
      <c r="G51" s="3">
        <f>Calculation!$C$10</f>
        <v>500000</v>
      </c>
      <c r="H51" s="3"/>
      <c r="I51" s="79">
        <f ca="1">ABS(PERCENTILE(OFFSET(Calculation!$N$16, ROW()-2, 0, 30, 1), 0.05))*500000</f>
        <v>15842.060117357136</v>
      </c>
      <c r="J51" s="81">
        <f ca="1">ABS(PERCENTILE(OFFSET(Calculation!$N$16, ROW()-2, 0, 30, 1), 0.01))*500000</f>
        <v>16280.831996989244</v>
      </c>
    </row>
    <row r="52" spans="5:10" x14ac:dyDescent="0.2">
      <c r="E52" s="56">
        <f>Calculation!B66</f>
        <v>46108</v>
      </c>
      <c r="F52">
        <f>F53*(1+Calculation!N66)</f>
        <v>465078.59885171527</v>
      </c>
      <c r="G52" s="3">
        <f>Calculation!$C$10</f>
        <v>500000</v>
      </c>
      <c r="H52" s="3"/>
      <c r="I52" s="79">
        <f ca="1">ABS(PERCENTILE(OFFSET(Calculation!$N$16, ROW()-2, 0, 30, 1), 0.05))*500000</f>
        <v>15842.060117357136</v>
      </c>
      <c r="J52" s="81">
        <f ca="1">ABS(PERCENTILE(OFFSET(Calculation!$N$16, ROW()-2, 0, 30, 1), 0.01))*500000</f>
        <v>16280.831996989244</v>
      </c>
    </row>
    <row r="53" spans="5:10" x14ac:dyDescent="0.2">
      <c r="E53" s="56">
        <f>Calculation!B67</f>
        <v>46106</v>
      </c>
      <c r="F53">
        <f>F54*(1+Calculation!N67)</f>
        <v>473238.4296286215</v>
      </c>
      <c r="G53" s="3">
        <f>Calculation!$C$10</f>
        <v>500000</v>
      </c>
      <c r="H53" s="3"/>
      <c r="I53" s="79">
        <f ca="1">ABS(PERCENTILE(OFFSET(Calculation!$N$16, ROW()-2, 0, 30, 1), 0.05))*500000</f>
        <v>15842.060117357136</v>
      </c>
      <c r="J53" s="81">
        <f ca="1">ABS(PERCENTILE(OFFSET(Calculation!$N$16, ROW()-2, 0, 30, 1), 0.01))*500000</f>
        <v>16280.831996989244</v>
      </c>
    </row>
    <row r="54" spans="5:10" x14ac:dyDescent="0.2">
      <c r="E54" s="56">
        <f>Calculation!B68</f>
        <v>46105</v>
      </c>
      <c r="F54">
        <f>F55*(1+Calculation!N68)</f>
        <v>464923.64931515104</v>
      </c>
      <c r="G54" s="3">
        <f>Calculation!$C$10</f>
        <v>500000</v>
      </c>
      <c r="H54" s="3"/>
      <c r="I54" s="79">
        <f ca="1">ABS(PERCENTILE(OFFSET(Calculation!$N$16, ROW()-2, 0, 30, 1), 0.05))*500000</f>
        <v>15842.060117357136</v>
      </c>
      <c r="J54" s="81">
        <f ca="1">ABS(PERCENTILE(OFFSET(Calculation!$N$16, ROW()-2, 0, 30, 1), 0.01))*500000</f>
        <v>16280.831996989244</v>
      </c>
    </row>
    <row r="55" spans="5:10" x14ac:dyDescent="0.2">
      <c r="E55" s="56">
        <f>Calculation!B69</f>
        <v>46104</v>
      </c>
      <c r="F55">
        <f>F56*(1+Calculation!N69)</f>
        <v>455958.63477426872</v>
      </c>
      <c r="G55" s="3">
        <f>Calculation!$C$10</f>
        <v>500000</v>
      </c>
      <c r="H55" s="3"/>
      <c r="I55" s="79">
        <f ca="1">ABS(PERCENTILE(OFFSET(Calculation!$N$16, ROW()-2, 0, 30, 1), 0.05))*500000</f>
        <v>15842.060117357136</v>
      </c>
      <c r="J55" s="81">
        <f ca="1">ABS(PERCENTILE(OFFSET(Calculation!$N$16, ROW()-2, 0, 30, 1), 0.01))*500000</f>
        <v>16280.831996989244</v>
      </c>
    </row>
    <row r="56" spans="5:10" x14ac:dyDescent="0.2">
      <c r="E56" s="56">
        <f>Calculation!B70</f>
        <v>46101</v>
      </c>
      <c r="F56">
        <f>F57*(1+Calculation!N70)</f>
        <v>470391.6504314238</v>
      </c>
      <c r="G56" s="3">
        <f>Calculation!$C$10</f>
        <v>500000</v>
      </c>
      <c r="H56" s="3"/>
      <c r="I56" s="79">
        <f ca="1">ABS(PERCENTILE(OFFSET(Calculation!$N$16, ROW()-2, 0, 30, 1), 0.05))*500000</f>
        <v>15774.035402190731</v>
      </c>
      <c r="J56" s="81">
        <f ca="1">ABS(PERCENTILE(OFFSET(Calculation!$N$16, ROW()-2, 0, 30, 1), 0.01))*500000</f>
        <v>16280.831996989244</v>
      </c>
    </row>
    <row r="57" spans="5:10" x14ac:dyDescent="0.2">
      <c r="E57" s="56">
        <f>Calculation!B71</f>
        <v>46100</v>
      </c>
      <c r="F57">
        <f>F58*(1+Calculation!N71)</f>
        <v>464005.59841366316</v>
      </c>
      <c r="G57" s="3">
        <f>Calculation!$C$10</f>
        <v>500000</v>
      </c>
      <c r="H57" s="3"/>
      <c r="I57" s="79">
        <f ca="1">ABS(PERCENTILE(OFFSET(Calculation!$N$16, ROW()-2, 0, 30, 1), 0.05))*500000</f>
        <v>15774.035402190731</v>
      </c>
      <c r="J57" s="81">
        <f ca="1">ABS(PERCENTILE(OFFSET(Calculation!$N$16, ROW()-2, 0, 30, 1), 0.01))*500000</f>
        <v>16280.831996989244</v>
      </c>
    </row>
    <row r="58" spans="5:10" x14ac:dyDescent="0.2">
      <c r="E58" s="56">
        <f>Calculation!B72</f>
        <v>46099</v>
      </c>
      <c r="F58">
        <f>F59*(1+Calculation!N72)</f>
        <v>479634.74998282013</v>
      </c>
      <c r="G58" s="3">
        <f>Calculation!$C$10</f>
        <v>500000</v>
      </c>
      <c r="H58" s="3"/>
      <c r="I58" s="79">
        <f ca="1">ABS(PERCENTILE(OFFSET(Calculation!$N$16, ROW()-2, 0, 30, 1), 0.05))*500000</f>
        <v>15111.261293218751</v>
      </c>
      <c r="J58" s="81">
        <f ca="1">ABS(PERCENTILE(OFFSET(Calculation!$N$16, ROW()-2, 0, 30, 1), 0.01))*500000</f>
        <v>15943.842966854541</v>
      </c>
    </row>
    <row r="59" spans="5:10" x14ac:dyDescent="0.2">
      <c r="E59" s="56">
        <f>Calculation!B73</f>
        <v>46098</v>
      </c>
      <c r="F59">
        <f>F60*(1+Calculation!N73)</f>
        <v>474830.35724359914</v>
      </c>
      <c r="G59" s="3">
        <f>Calculation!$C$10</f>
        <v>500000</v>
      </c>
      <c r="H59" s="3"/>
      <c r="I59" s="79">
        <f ca="1">ABS(PERCENTILE(OFFSET(Calculation!$N$16, ROW()-2, 0, 30, 1), 0.05))*500000</f>
        <v>15111.261293218751</v>
      </c>
      <c r="J59" s="81">
        <f ca="1">ABS(PERCENTILE(OFFSET(Calculation!$N$16, ROW()-2, 0, 30, 1), 0.01))*500000</f>
        <v>15943.842966854541</v>
      </c>
    </row>
    <row r="60" spans="5:10" x14ac:dyDescent="0.2">
      <c r="E60" s="56">
        <f>Calculation!B74</f>
        <v>46097</v>
      </c>
      <c r="F60">
        <f>F61*(1+Calculation!N74)</f>
        <v>473848.71402219537</v>
      </c>
      <c r="G60" s="3">
        <f>Calculation!$C$10</f>
        <v>500000</v>
      </c>
      <c r="H60" s="3"/>
      <c r="I60" s="79">
        <f ca="1">ABS(PERCENTILE(OFFSET(Calculation!$N$16, ROW()-2, 0, 30, 1), 0.05))*500000</f>
        <v>15111.261293218751</v>
      </c>
      <c r="J60" s="81">
        <f ca="1">ABS(PERCENTILE(OFFSET(Calculation!$N$16, ROW()-2, 0, 30, 1), 0.01))*500000</f>
        <v>15943.842966854541</v>
      </c>
    </row>
    <row r="61" spans="5:10" x14ac:dyDescent="0.2">
      <c r="E61" s="56">
        <f>Calculation!B75</f>
        <v>46094</v>
      </c>
      <c r="F61">
        <f>F62*(1+Calculation!N75)</f>
        <v>467443.5942578981</v>
      </c>
      <c r="G61" s="3">
        <f>Calculation!$C$10</f>
        <v>500000</v>
      </c>
      <c r="H61" s="3"/>
      <c r="I61" s="79">
        <f ca="1">ABS(PERCENTILE(OFFSET(Calculation!$N$16, ROW()-2, 0, 30, 1), 0.05))*500000</f>
        <v>15111.261293218751</v>
      </c>
      <c r="J61" s="81">
        <f ca="1">ABS(PERCENTILE(OFFSET(Calculation!$N$16, ROW()-2, 0, 30, 1), 0.01))*500000</f>
        <v>15943.842966854541</v>
      </c>
    </row>
    <row r="62" spans="5:10" x14ac:dyDescent="0.2">
      <c r="E62" s="56">
        <f>Calculation!B76</f>
        <v>46093</v>
      </c>
      <c r="F62">
        <f>F63*(1+Calculation!N76)</f>
        <v>483147.451019286</v>
      </c>
      <c r="G62" s="3">
        <f>Calculation!$C$10</f>
        <v>500000</v>
      </c>
      <c r="H62" s="3"/>
      <c r="I62" s="79">
        <f ca="1">ABS(PERCENTILE(OFFSET(Calculation!$N$16, ROW()-2, 0, 30, 1), 0.05))*500000</f>
        <v>12345.890247305184</v>
      </c>
      <c r="J62" s="81">
        <f ca="1">ABS(PERCENTILE(OFFSET(Calculation!$N$16, ROW()-2, 0, 30, 1), 0.01))*500000</f>
        <v>15139.371730708577</v>
      </c>
    </row>
    <row r="63" spans="5:10" x14ac:dyDescent="0.2">
      <c r="E63" s="56">
        <f>Calculation!B77</f>
        <v>46092</v>
      </c>
      <c r="F63">
        <f>F64*(1+Calculation!N77)</f>
        <v>490985.40171455679</v>
      </c>
      <c r="G63" s="3">
        <f>Calculation!$C$10</f>
        <v>500000</v>
      </c>
      <c r="H63" s="3"/>
      <c r="I63" s="79">
        <f ca="1">ABS(PERCENTILE(OFFSET(Calculation!$N$16, ROW()-2, 0, 30, 1), 0.05))*500000</f>
        <v>12345.890247305184</v>
      </c>
      <c r="J63" s="81">
        <f ca="1">ABS(PERCENTILE(OFFSET(Calculation!$N$16, ROW()-2, 0, 30, 1), 0.01))*500000</f>
        <v>15139.371730708577</v>
      </c>
    </row>
    <row r="64" spans="5:10" x14ac:dyDescent="0.2">
      <c r="E64" s="56">
        <f>Calculation!B78</f>
        <v>46091</v>
      </c>
      <c r="F64">
        <f>F65*(1+Calculation!N78)</f>
        <v>496411.15415297891</v>
      </c>
      <c r="G64" s="3">
        <f>Calculation!$C$10</f>
        <v>500000</v>
      </c>
      <c r="H64" s="3"/>
      <c r="I64" s="79">
        <f ca="1">ABS(PERCENTILE(OFFSET(Calculation!$N$16, ROW()-2, 0, 30, 1), 0.05))*500000</f>
        <v>12345.890247305184</v>
      </c>
      <c r="J64" s="81">
        <f ca="1">ABS(PERCENTILE(OFFSET(Calculation!$N$16, ROW()-2, 0, 30, 1), 0.01))*500000</f>
        <v>15139.371730708577</v>
      </c>
    </row>
    <row r="65" spans="5:10" x14ac:dyDescent="0.2">
      <c r="E65" s="56">
        <f>Calculation!B79</f>
        <v>46090</v>
      </c>
      <c r="F65">
        <f>F66*(1+Calculation!N79)</f>
        <v>488813.51669436088</v>
      </c>
      <c r="G65" s="3">
        <f>Calculation!$C$10</f>
        <v>500000</v>
      </c>
      <c r="H65" s="3"/>
      <c r="I65" s="79">
        <f ca="1">ABS(PERCENTILE(OFFSET(Calculation!$N$16, ROW()-2, 0, 30, 1), 0.05))*500000</f>
        <v>12345.890247305184</v>
      </c>
      <c r="J65" s="81">
        <f ca="1">ABS(PERCENTILE(OFFSET(Calculation!$N$16, ROW()-2, 0, 30, 1), 0.01))*500000</f>
        <v>15139.371730708577</v>
      </c>
    </row>
    <row r="66" spans="5:10" x14ac:dyDescent="0.2">
      <c r="E66" s="56">
        <f>Calculation!B80</f>
        <v>46087</v>
      </c>
      <c r="F66">
        <f>F67*(1+Calculation!N80)</f>
        <v>504129.28905287117</v>
      </c>
      <c r="G66" s="3">
        <f>Calculation!$C$10</f>
        <v>500000</v>
      </c>
      <c r="H66" s="3"/>
      <c r="I66" s="79">
        <f ca="1">ABS(PERCENTILE(OFFSET(Calculation!$N$16, ROW()-2, 0, 30, 1), 0.05))*500000</f>
        <v>8539.0043898259864</v>
      </c>
      <c r="J66" s="81">
        <f ca="1">ABS(PERCENTILE(OFFSET(Calculation!$N$16, ROW()-2, 0, 30, 1), 0.01))*500000</f>
        <v>13294.776084475776</v>
      </c>
    </row>
    <row r="67" spans="5:10" x14ac:dyDescent="0.2">
      <c r="E67" s="56">
        <f>Calculation!B81</f>
        <v>46086</v>
      </c>
      <c r="F67">
        <f>F68*(1+Calculation!N81)</f>
        <v>507619.25860026717</v>
      </c>
      <c r="G67" s="3">
        <f>Calculation!$C$10</f>
        <v>500000</v>
      </c>
      <c r="H67" s="3"/>
      <c r="I67" s="79">
        <f ca="1">ABS(PERCENTILE(OFFSET(Calculation!$N$16, ROW()-2, 0, 30, 1), 0.05))*500000</f>
        <v>8539.0043898259864</v>
      </c>
      <c r="J67" s="81">
        <f ca="1">ABS(PERCENTILE(OFFSET(Calculation!$N$16, ROW()-2, 0, 30, 1), 0.01))*500000</f>
        <v>13294.776084475776</v>
      </c>
    </row>
    <row r="68" spans="5:10" x14ac:dyDescent="0.2">
      <c r="E68" s="56">
        <f>Calculation!B82</f>
        <v>46085</v>
      </c>
      <c r="F68">
        <f>F69*(1+Calculation!N82)</f>
        <v>504901.00457388756</v>
      </c>
      <c r="G68" s="3">
        <f>Calculation!$C$10</f>
        <v>500000</v>
      </c>
      <c r="H68" s="3"/>
      <c r="I68" s="79">
        <f ca="1">ABS(PERCENTILE(OFFSET(Calculation!$N$16, ROW()-2, 0, 30, 1), 0.05))*500000</f>
        <v>8539.0043898259864</v>
      </c>
      <c r="J68" s="81">
        <f ca="1">ABS(PERCENTILE(OFFSET(Calculation!$N$16, ROW()-2, 0, 30, 1), 0.01))*500000</f>
        <v>13294.776084475776</v>
      </c>
    </row>
    <row r="69" spans="5:10" x14ac:dyDescent="0.2">
      <c r="E69" s="56">
        <f>Calculation!B83</f>
        <v>46083</v>
      </c>
      <c r="F69">
        <f>F70*(1+Calculation!N83)</f>
        <v>520532.20317406737</v>
      </c>
      <c r="G69" s="3">
        <f>Calculation!$C$10</f>
        <v>500000</v>
      </c>
      <c r="H69" s="3"/>
      <c r="I69" s="79">
        <f ca="1">ABS(PERCENTILE(OFFSET(Calculation!$N$16, ROW()-2, 0, 30, 1), 0.05))*500000</f>
        <v>8539.0043898259864</v>
      </c>
      <c r="J69" s="81">
        <f ca="1">ABS(PERCENTILE(OFFSET(Calculation!$N$16, ROW()-2, 0, 30, 1), 0.01))*500000</f>
        <v>10409.960466534843</v>
      </c>
    </row>
    <row r="70" spans="5:10" x14ac:dyDescent="0.2">
      <c r="E70" s="56">
        <f>Calculation!B84</f>
        <v>46080</v>
      </c>
      <c r="F70">
        <f>F71*(1+Calculation!N84)</f>
        <v>527880.46044443652</v>
      </c>
      <c r="G70" s="3">
        <f>Calculation!$C$10</f>
        <v>500000</v>
      </c>
      <c r="H70" s="3"/>
      <c r="I70" s="79">
        <f ca="1">ABS(PERCENTILE(OFFSET(Calculation!$N$16, ROW()-2, 0, 30, 1), 0.05))*500000</f>
        <v>8539.0043898259864</v>
      </c>
      <c r="J70" s="81">
        <f ca="1">ABS(PERCENTILE(OFFSET(Calculation!$N$16, ROW()-2, 0, 30, 1), 0.01))*500000</f>
        <v>10409.960466534843</v>
      </c>
    </row>
    <row r="71" spans="5:10" x14ac:dyDescent="0.2">
      <c r="E71" s="56">
        <f>Calculation!B85</f>
        <v>46079</v>
      </c>
      <c r="F71">
        <f>F72*(1+Calculation!N85)</f>
        <v>536000.89274774829</v>
      </c>
      <c r="G71" s="3">
        <f>Calculation!$C$10</f>
        <v>500000</v>
      </c>
      <c r="H71" s="3"/>
      <c r="I71" s="79">
        <f ca="1">ABS(PERCENTILE(OFFSET(Calculation!$N$16, ROW()-2, 0, 30, 1), 0.05))*500000</f>
        <v>8539.0043898259864</v>
      </c>
      <c r="J71" s="81">
        <f ca="1">ABS(PERCENTILE(OFFSET(Calculation!$N$16, ROW()-2, 0, 30, 1), 0.01))*500000</f>
        <v>10409.960466534843</v>
      </c>
    </row>
    <row r="72" spans="5:10" x14ac:dyDescent="0.2">
      <c r="E72" s="56">
        <f>Calculation!B86</f>
        <v>46078</v>
      </c>
      <c r="F72">
        <f>F73*(1+Calculation!N86)</f>
        <v>534083.75153309084</v>
      </c>
      <c r="G72" s="3">
        <f>Calculation!$C$10</f>
        <v>500000</v>
      </c>
      <c r="H72" s="3"/>
      <c r="I72" s="79">
        <f ca="1">ABS(PERCENTILE(OFFSET(Calculation!$N$16, ROW()-2, 0, 30, 1), 0.05))*500000</f>
        <v>8539.0043898259864</v>
      </c>
      <c r="J72" s="81">
        <f ca="1">ABS(PERCENTILE(OFFSET(Calculation!$N$16, ROW()-2, 0, 30, 1), 0.01))*500000</f>
        <v>10409.960466534843</v>
      </c>
    </row>
    <row r="73" spans="5:10" x14ac:dyDescent="0.2">
      <c r="E73" s="56">
        <f>Calculation!B87</f>
        <v>46077</v>
      </c>
      <c r="F73">
        <f>F74*(1+Calculation!N87)</f>
        <v>526209.64324899367</v>
      </c>
      <c r="G73" s="3">
        <f>Calculation!$C$10</f>
        <v>500000</v>
      </c>
      <c r="H73" s="3"/>
      <c r="I73" s="79">
        <f ca="1">ABS(PERCENTILE(OFFSET(Calculation!$N$16, ROW()-2, 0, 30, 1), 0.05))*500000</f>
        <v>8539.0043898259864</v>
      </c>
      <c r="J73" s="81">
        <f ca="1">ABS(PERCENTILE(OFFSET(Calculation!$N$16, ROW()-2, 0, 30, 1), 0.01))*500000</f>
        <v>10409.960466534843</v>
      </c>
    </row>
    <row r="74" spans="5:10" x14ac:dyDescent="0.2">
      <c r="E74" s="56">
        <f>Calculation!B88</f>
        <v>46076</v>
      </c>
      <c r="F74">
        <f>F75*(1+Calculation!N88)</f>
        <v>526551.40584814386</v>
      </c>
      <c r="G74" s="3">
        <f>Calculation!$C$10</f>
        <v>500000</v>
      </c>
      <c r="H74" s="3"/>
      <c r="I74" s="79">
        <f ca="1">ABS(PERCENTILE(OFFSET(Calculation!$N$16, ROW()-2, 0, 30, 1), 0.05))*500000</f>
        <v>8539.0043898259864</v>
      </c>
      <c r="J74" s="81">
        <f ca="1">ABS(PERCENTILE(OFFSET(Calculation!$N$16, ROW()-2, 0, 30, 1), 0.01))*500000</f>
        <v>10409.960466534843</v>
      </c>
    </row>
    <row r="75" spans="5:10" x14ac:dyDescent="0.2">
      <c r="E75" s="56">
        <f>Calculation!B89</f>
        <v>46073</v>
      </c>
      <c r="F75">
        <f>F76*(1+Calculation!N89)</f>
        <v>521487.66993084183</v>
      </c>
      <c r="G75" s="3">
        <f>Calculation!$C$10</f>
        <v>500000</v>
      </c>
      <c r="H75" s="3"/>
      <c r="I75" s="79">
        <f ca="1">ABS(PERCENTILE(OFFSET(Calculation!$N$16, ROW()-2, 0, 30, 1), 0.05))*500000</f>
        <v>8539.0043898259864</v>
      </c>
      <c r="J75" s="81">
        <f ca="1">ABS(PERCENTILE(OFFSET(Calculation!$N$16, ROW()-2, 0, 30, 1), 0.01))*500000</f>
        <v>10409.960466534843</v>
      </c>
    </row>
    <row r="76" spans="5:10" x14ac:dyDescent="0.2">
      <c r="E76" s="56">
        <f>Calculation!B90</f>
        <v>46072</v>
      </c>
      <c r="F76">
        <f>F77*(1+Calculation!N90)</f>
        <v>519194.61045445025</v>
      </c>
      <c r="G76" s="3">
        <f>Calculation!$C$10</f>
        <v>500000</v>
      </c>
      <c r="H76" s="3"/>
      <c r="I76" s="79">
        <f ca="1">ABS(PERCENTILE(OFFSET(Calculation!$N$16, ROW()-2, 0, 30, 1), 0.05))*500000</f>
        <v>8539.0043898259864</v>
      </c>
      <c r="J76" s="81">
        <f ca="1">ABS(PERCENTILE(OFFSET(Calculation!$N$16, ROW()-2, 0, 30, 1), 0.01))*500000</f>
        <v>10409.960466534843</v>
      </c>
    </row>
    <row r="77" spans="5:10" x14ac:dyDescent="0.2">
      <c r="E77" s="56">
        <f>Calculation!B91</f>
        <v>46071</v>
      </c>
      <c r="F77">
        <f>F78*(1+Calculation!N91)</f>
        <v>527500.40212365368</v>
      </c>
      <c r="G77" s="3">
        <f>Calculation!$C$10</f>
        <v>500000</v>
      </c>
      <c r="H77" s="3"/>
      <c r="I77" s="79">
        <f ca="1">ABS(PERCENTILE(OFFSET(Calculation!$N$16, ROW()-2, 0, 30, 1), 0.05))*500000</f>
        <v>7627.6851977445385</v>
      </c>
      <c r="J77" s="81">
        <f ca="1">ABS(PERCENTILE(OFFSET(Calculation!$N$16, ROW()-2, 0, 30, 1), 0.01))*500000</f>
        <v>10409.960466534843</v>
      </c>
    </row>
    <row r="78" spans="5:10" x14ac:dyDescent="0.2">
      <c r="E78" s="56">
        <f>Calculation!B92</f>
        <v>46070</v>
      </c>
      <c r="F78">
        <f>F79*(1+Calculation!N92)</f>
        <v>523692.39088634076</v>
      </c>
      <c r="G78" s="3">
        <f>Calculation!$C$10</f>
        <v>500000</v>
      </c>
      <c r="H78" s="3"/>
      <c r="I78" s="79">
        <f ca="1">ABS(PERCENTILE(OFFSET(Calculation!$N$16, ROW()-2, 0, 30, 1), 0.05))*500000</f>
        <v>7627.6851977445385</v>
      </c>
      <c r="J78" s="81">
        <f ca="1">ABS(PERCENTILE(OFFSET(Calculation!$N$16, ROW()-2, 0, 30, 1), 0.01))*500000</f>
        <v>10409.960466534843</v>
      </c>
    </row>
    <row r="79" spans="5:10" x14ac:dyDescent="0.2">
      <c r="E79" s="56">
        <f>Calculation!B93</f>
        <v>46069</v>
      </c>
      <c r="F79">
        <f>F80*(1+Calculation!N93)</f>
        <v>523056.74195280811</v>
      </c>
      <c r="G79" s="3">
        <f>Calculation!$C$10</f>
        <v>500000</v>
      </c>
      <c r="H79" s="3"/>
      <c r="I79" s="79">
        <f ca="1">ABS(PERCENTILE(OFFSET(Calculation!$N$16, ROW()-2, 0, 30, 1), 0.05))*500000</f>
        <v>7627.6851977445385</v>
      </c>
      <c r="J79" s="81">
        <f ca="1">ABS(PERCENTILE(OFFSET(Calculation!$N$16, ROW()-2, 0, 30, 1), 0.01))*500000</f>
        <v>10409.960466534843</v>
      </c>
    </row>
    <row r="80" spans="5:10" x14ac:dyDescent="0.2">
      <c r="E80" s="56">
        <f>Calculation!B94</f>
        <v>46066</v>
      </c>
      <c r="F80">
        <f>F81*(1+Calculation!N94)</f>
        <v>522742.23874034785</v>
      </c>
      <c r="G80" s="3">
        <f>Calculation!$C$10</f>
        <v>500000</v>
      </c>
      <c r="H80" s="3"/>
      <c r="I80" s="79">
        <f ca="1">ABS(PERCENTILE(OFFSET(Calculation!$N$16, ROW()-2, 0, 30, 1), 0.05))*500000</f>
        <v>7627.6851977445385</v>
      </c>
      <c r="J80" s="81">
        <f ca="1">ABS(PERCENTILE(OFFSET(Calculation!$N$16, ROW()-2, 0, 30, 1), 0.01))*500000</f>
        <v>10409.960466534843</v>
      </c>
    </row>
    <row r="81" spans="5:10" x14ac:dyDescent="0.2">
      <c r="E81" s="56">
        <f>Calculation!B95</f>
        <v>46065</v>
      </c>
      <c r="F81">
        <f>F82*(1+Calculation!N95)</f>
        <v>528928.18990907143</v>
      </c>
      <c r="G81" s="3">
        <f>Calculation!$C$10</f>
        <v>500000</v>
      </c>
      <c r="H81" s="3"/>
      <c r="I81" s="79">
        <f ca="1">ABS(PERCENTILE(OFFSET(Calculation!$N$16, ROW()-2, 0, 30, 1), 0.05))*500000</f>
        <v>7522.1219490169742</v>
      </c>
      <c r="J81" s="81">
        <f ca="1">ABS(PERCENTILE(OFFSET(Calculation!$N$16, ROW()-2, 0, 30, 1), 0.01))*500000</f>
        <v>10409.960466534843</v>
      </c>
    </row>
    <row r="82" spans="5:10" x14ac:dyDescent="0.2">
      <c r="E82" s="56">
        <f>Calculation!B96</f>
        <v>46064</v>
      </c>
      <c r="F82">
        <f>F83*(1+Calculation!N96)</f>
        <v>530878.84730981337</v>
      </c>
      <c r="G82" s="3">
        <f>Calculation!$C$10</f>
        <v>500000</v>
      </c>
      <c r="H82" s="3"/>
      <c r="I82" s="79">
        <f ca="1">ABS(PERCENTILE(OFFSET(Calculation!$N$16, ROW()-2, 0, 30, 1), 0.05))*500000</f>
        <v>7522.1219490169742</v>
      </c>
      <c r="J82" s="81">
        <f ca="1">ABS(PERCENTILE(OFFSET(Calculation!$N$16, ROW()-2, 0, 30, 1), 0.01))*500000</f>
        <v>10409.960466534843</v>
      </c>
    </row>
    <row r="83" spans="5:10" x14ac:dyDescent="0.2">
      <c r="E83" s="56">
        <f>Calculation!B97</f>
        <v>46063</v>
      </c>
      <c r="F83">
        <f>F84*(1+Calculation!N97)</f>
        <v>524939.86831887986</v>
      </c>
      <c r="G83" s="3">
        <f>Calculation!$C$10</f>
        <v>500000</v>
      </c>
      <c r="H83" s="3"/>
      <c r="I83" s="79">
        <f ca="1">ABS(PERCENTILE(OFFSET(Calculation!$N$16, ROW()-2, 0, 30, 1), 0.05))*500000</f>
        <v>7522.1219490169742</v>
      </c>
      <c r="J83" s="81">
        <f ca="1">ABS(PERCENTILE(OFFSET(Calculation!$N$16, ROW()-2, 0, 30, 1), 0.01))*500000</f>
        <v>10409.960466534843</v>
      </c>
    </row>
    <row r="84" spans="5:10" x14ac:dyDescent="0.2">
      <c r="E84" s="56">
        <f>Calculation!B98</f>
        <v>46062</v>
      </c>
      <c r="F84">
        <f>F85*(1+Calculation!N98)</f>
        <v>524034.60318460979</v>
      </c>
      <c r="G84" s="3">
        <f>Calculation!$C$10</f>
        <v>500000</v>
      </c>
      <c r="H84" s="3"/>
      <c r="I84" s="79">
        <f ca="1">ABS(PERCENTILE(OFFSET(Calculation!$N$16, ROW()-2, 0, 30, 1), 0.05))*500000</f>
        <v>7522.1219490169742</v>
      </c>
      <c r="J84" s="81">
        <f ca="1">ABS(PERCENTILE(OFFSET(Calculation!$N$16, ROW()-2, 0, 30, 1), 0.01))*500000</f>
        <v>10409.960466534843</v>
      </c>
    </row>
    <row r="85" spans="5:10" x14ac:dyDescent="0.2">
      <c r="E85" s="56">
        <f>Calculation!B99</f>
        <v>46059</v>
      </c>
      <c r="F85">
        <f>F86*(1+Calculation!N99)</f>
        <v>522552.80195906648</v>
      </c>
      <c r="G85" s="3">
        <f>Calculation!$C$10</f>
        <v>500000</v>
      </c>
      <c r="H85" s="3"/>
      <c r="I85" s="79">
        <f ca="1">ABS(PERCENTILE(OFFSET(Calculation!$N$16, ROW()-2, 0, 30, 1), 0.05))*500000</f>
        <v>7522.1219490169742</v>
      </c>
      <c r="J85" s="81">
        <f ca="1">ABS(PERCENTILE(OFFSET(Calculation!$N$16, ROW()-2, 0, 30, 1), 0.01))*500000</f>
        <v>10409.960466534843</v>
      </c>
    </row>
    <row r="86" spans="5:10" x14ac:dyDescent="0.2">
      <c r="E86" s="56">
        <f>Calculation!B100</f>
        <v>46058</v>
      </c>
      <c r="F86">
        <f>F87*(1+Calculation!N100)</f>
        <v>523428.16105269478</v>
      </c>
      <c r="G86" s="3">
        <f>Calculation!$C$10</f>
        <v>500000</v>
      </c>
      <c r="H86" s="3"/>
      <c r="I86" s="79">
        <f ca="1">ABS(PERCENTILE(OFFSET(Calculation!$N$16, ROW()-2, 0, 30, 1), 0.05))*500000</f>
        <v>7522.1219490169742</v>
      </c>
      <c r="J86" s="81">
        <f ca="1">ABS(PERCENTILE(OFFSET(Calculation!$N$16, ROW()-2, 0, 30, 1), 0.01))*500000</f>
        <v>10409.960466534843</v>
      </c>
    </row>
    <row r="87" spans="5:10" x14ac:dyDescent="0.2">
      <c r="E87" s="56">
        <f>Calculation!B101</f>
        <v>46057</v>
      </c>
      <c r="F87">
        <f>F88*(1+Calculation!N101)</f>
        <v>522653.78840979352</v>
      </c>
      <c r="G87" s="3">
        <f>Calculation!$C$10</f>
        <v>500000</v>
      </c>
      <c r="H87" s="3"/>
      <c r="I87" s="79">
        <f ca="1">ABS(PERCENTILE(OFFSET(Calculation!$N$16, ROW()-2, 0, 30, 1), 0.05))*500000</f>
        <v>7522.1219490169742</v>
      </c>
      <c r="J87" s="81">
        <f ca="1">ABS(PERCENTILE(OFFSET(Calculation!$N$16, ROW()-2, 0, 30, 1), 0.01))*500000</f>
        <v>10409.960466534843</v>
      </c>
    </row>
    <row r="88" spans="5:10" x14ac:dyDescent="0.2">
      <c r="E88" s="56">
        <f>Calculation!B102</f>
        <v>46056</v>
      </c>
      <c r="F88">
        <f>F89*(1+Calculation!N102)</f>
        <v>524654.68633309379</v>
      </c>
      <c r="G88" s="3">
        <f>Calculation!$C$10</f>
        <v>500000</v>
      </c>
      <c r="H88" s="3"/>
      <c r="I88" s="79">
        <f ca="1">ABS(PERCENTILE(OFFSET(Calculation!$N$16, ROW()-2, 0, 30, 1), 0.05))*500000</f>
        <v>7522.1219490169742</v>
      </c>
      <c r="J88" s="81">
        <f ca="1">ABS(PERCENTILE(OFFSET(Calculation!$N$16, ROW()-2, 0, 30, 1), 0.01))*500000</f>
        <v>10409.960466534843</v>
      </c>
    </row>
    <row r="89" spans="5:10" x14ac:dyDescent="0.2">
      <c r="E89" s="56">
        <f>Calculation!B103</f>
        <v>46055</v>
      </c>
      <c r="F89">
        <f>F90*(1+Calculation!N103)</f>
        <v>515441.52969273354</v>
      </c>
      <c r="G89" s="3">
        <f>Calculation!$C$10</f>
        <v>500000</v>
      </c>
      <c r="H89" s="3"/>
      <c r="I89" s="79">
        <f ca="1">ABS(PERCENTILE(OFFSET(Calculation!$N$16, ROW()-2, 0, 30, 1), 0.05))*500000</f>
        <v>7522.1219490169742</v>
      </c>
      <c r="J89" s="81">
        <f ca="1">ABS(PERCENTILE(OFFSET(Calculation!$N$16, ROW()-2, 0, 30, 1), 0.01))*500000</f>
        <v>10409.960466534843</v>
      </c>
    </row>
    <row r="90" spans="5:10" x14ac:dyDescent="0.2">
      <c r="E90" s="56">
        <f>Calculation!B104</f>
        <v>46054</v>
      </c>
      <c r="F90">
        <f>F91*(1+Calculation!N104)</f>
        <v>512179.73160376766</v>
      </c>
      <c r="G90" s="3">
        <f>Calculation!$C$10</f>
        <v>500000</v>
      </c>
      <c r="H90" s="3"/>
      <c r="I90" s="79">
        <f ca="1">ABS(PERCENTILE(OFFSET(Calculation!$N$16, ROW()-2, 0, 30, 1), 0.05))*500000</f>
        <v>7522.1219490169742</v>
      </c>
      <c r="J90" s="81">
        <f ca="1">ABS(PERCENTILE(OFFSET(Calculation!$N$16, ROW()-2, 0, 30, 1), 0.01))*500000</f>
        <v>10409.960466534843</v>
      </c>
    </row>
    <row r="91" spans="5:10" x14ac:dyDescent="0.2">
      <c r="E91" s="56">
        <f>Calculation!B105</f>
        <v>46052</v>
      </c>
      <c r="F91">
        <f>F92*(1+Calculation!N105)</f>
        <v>521657.30074857076</v>
      </c>
      <c r="G91" s="3">
        <f>Calculation!$C$10</f>
        <v>500000</v>
      </c>
      <c r="H91" s="3"/>
      <c r="I91" s="79">
        <f ca="1">ABS(PERCENTILE(OFFSET(Calculation!$N$16, ROW()-2, 0, 30, 1), 0.05))*500000</f>
        <v>5061.767469010475</v>
      </c>
      <c r="J91" s="81">
        <f ca="1">ABS(PERCENTILE(OFFSET(Calculation!$N$16, ROW()-2, 0, 30, 1), 0.01))*500000</f>
        <v>9403.3554941478505</v>
      </c>
    </row>
    <row r="92" spans="5:10" x14ac:dyDescent="0.2">
      <c r="E92" s="56">
        <f>Calculation!B106</f>
        <v>46051</v>
      </c>
      <c r="F92">
        <f>F93*(1+Calculation!N106)</f>
        <v>516689.21950553614</v>
      </c>
      <c r="G92" s="3">
        <f>Calculation!$C$10</f>
        <v>500000</v>
      </c>
      <c r="H92" s="3"/>
      <c r="I92" s="79">
        <f ca="1">ABS(PERCENTILE(OFFSET(Calculation!$N$16, ROW()-2, 0, 30, 1), 0.05))*500000</f>
        <v>5061.767469010475</v>
      </c>
      <c r="J92" s="81">
        <f ca="1">ABS(PERCENTILE(OFFSET(Calculation!$N$16, ROW()-2, 0, 30, 1), 0.01))*500000</f>
        <v>9403.3554941478505</v>
      </c>
    </row>
    <row r="93" spans="5:10" x14ac:dyDescent="0.2">
      <c r="E93" s="56">
        <f>Calculation!B107</f>
        <v>46050</v>
      </c>
      <c r="F93">
        <f>F94*(1+Calculation!N107)</f>
        <v>522555.47276057897</v>
      </c>
      <c r="G93" s="3">
        <f>Calculation!$C$10</f>
        <v>500000</v>
      </c>
      <c r="H93" s="3"/>
      <c r="I93" s="79">
        <f ca="1">ABS(PERCENTILE(OFFSET(Calculation!$N$16, ROW()-2, 0, 30, 1), 0.05))*500000</f>
        <v>4311.0524274353775</v>
      </c>
      <c r="J93" s="81">
        <f ca="1">ABS(PERCENTILE(OFFSET(Calculation!$N$16, ROW()-2, 0, 30, 1), 0.01))*500000</f>
        <v>9048.0886843944318</v>
      </c>
    </row>
    <row r="94" spans="5:10" x14ac:dyDescent="0.2">
      <c r="E94" s="56">
        <f>Calculation!B108</f>
        <v>46049</v>
      </c>
      <c r="F94">
        <f>F95*(1+Calculation!N108)</f>
        <v>516555.00958182302</v>
      </c>
      <c r="G94" s="3">
        <f>Calculation!$C$10</f>
        <v>500000</v>
      </c>
      <c r="H94" s="3"/>
      <c r="I94" s="79">
        <f ca="1">ABS(PERCENTILE(OFFSET(Calculation!$N$16, ROW()-2, 0, 30, 1), 0.05))*500000</f>
        <v>4311.0524274353775</v>
      </c>
      <c r="J94" s="81">
        <f ca="1">ABS(PERCENTILE(OFFSET(Calculation!$N$16, ROW()-2, 0, 30, 1), 0.01))*500000</f>
        <v>9048.0886843944318</v>
      </c>
    </row>
    <row r="95" spans="5:10" x14ac:dyDescent="0.2">
      <c r="E95" s="56">
        <f>Calculation!B109</f>
        <v>46045</v>
      </c>
      <c r="F95">
        <f>F96*(1+Calculation!N109)</f>
        <v>512947.78999841044</v>
      </c>
      <c r="G95" s="3">
        <f>Calculation!$C$10</f>
        <v>500000</v>
      </c>
      <c r="H95" s="3"/>
      <c r="I95" s="79">
        <f ca="1">ABS(PERCENTILE(OFFSET(Calculation!$N$16, ROW()-2, 0, 30, 1), 0.05))*500000</f>
        <v>4311.0524274353775</v>
      </c>
      <c r="J95" s="81">
        <f ca="1">ABS(PERCENTILE(OFFSET(Calculation!$N$16, ROW()-2, 0, 30, 1), 0.01))*500000</f>
        <v>9048.0886843944318</v>
      </c>
    </row>
    <row r="96" spans="5:10" x14ac:dyDescent="0.2">
      <c r="E96" s="56">
        <f>Calculation!B110</f>
        <v>46044</v>
      </c>
      <c r="F96">
        <f>F97*(1+Calculation!N110)</f>
        <v>516573.95095593168</v>
      </c>
      <c r="G96" s="3">
        <f>Calculation!$C$10</f>
        <v>500000</v>
      </c>
      <c r="H96" s="3"/>
      <c r="I96" s="79">
        <f ca="1">ABS(PERCENTILE(OFFSET(Calculation!$N$16, ROW()-2, 0, 30, 1), 0.05))*500000</f>
        <v>4311.0524274353775</v>
      </c>
      <c r="J96" s="81">
        <f ca="1">ABS(PERCENTILE(OFFSET(Calculation!$N$16, ROW()-2, 0, 30, 1), 0.01))*500000</f>
        <v>9048.0886843944318</v>
      </c>
    </row>
    <row r="97" spans="5:10" x14ac:dyDescent="0.2">
      <c r="E97" s="56">
        <f>Calculation!B111</f>
        <v>46043</v>
      </c>
      <c r="F97">
        <f>F98*(1+Calculation!N111)</f>
        <v>508725.06312441692</v>
      </c>
      <c r="G97" s="3">
        <f>Calculation!$C$10</f>
        <v>500000</v>
      </c>
      <c r="H97" s="3"/>
      <c r="I97" s="79">
        <f ca="1">ABS(PERCENTILE(OFFSET(Calculation!$N$16, ROW()-2, 0, 30, 1), 0.05))*500000</f>
        <v>4311.0524274353775</v>
      </c>
      <c r="J97" s="81">
        <f ca="1">ABS(PERCENTILE(OFFSET(Calculation!$N$16, ROW()-2, 0, 30, 1), 0.01))*500000</f>
        <v>9048.0886843944318</v>
      </c>
    </row>
    <row r="98" spans="5:10" x14ac:dyDescent="0.2">
      <c r="E98" s="56">
        <f>Calculation!B112</f>
        <v>46042</v>
      </c>
      <c r="F98">
        <f>F99*(1+Calculation!N112)</f>
        <v>510329.16278222355</v>
      </c>
      <c r="G98" s="3">
        <f>Calculation!$C$10</f>
        <v>500000</v>
      </c>
      <c r="H98" s="3"/>
      <c r="I98" s="79">
        <f ca="1">ABS(PERCENTILE(OFFSET(Calculation!$N$16, ROW()-2, 0, 30, 1), 0.05))*500000</f>
        <v>6061.5281360951103</v>
      </c>
      <c r="J98" s="81">
        <f ca="1">ABS(PERCENTILE(OFFSET(Calculation!$N$16, ROW()-2, 0, 30, 1), 0.01))*500000</f>
        <v>9930.5020277015683</v>
      </c>
    </row>
    <row r="99" spans="5:10" x14ac:dyDescent="0.2">
      <c r="E99" s="56">
        <f>Calculation!B113</f>
        <v>46041</v>
      </c>
      <c r="F99">
        <f>F100*(1+Calculation!N113)</f>
        <v>521757.22279065847</v>
      </c>
      <c r="G99" s="3">
        <f>Calculation!$C$10</f>
        <v>500000</v>
      </c>
      <c r="H99" s="3"/>
      <c r="I99" s="79">
        <f ca="1">ABS(PERCENTILE(OFFSET(Calculation!$N$16, ROW()-2, 0, 30, 1), 0.05))*500000</f>
        <v>4311.0524274353775</v>
      </c>
      <c r="J99" s="81">
        <f ca="1">ABS(PERCENTILE(OFFSET(Calculation!$N$16, ROW()-2, 0, 30, 1), 0.01))*500000</f>
        <v>6548.3768772300818</v>
      </c>
    </row>
    <row r="100" spans="5:10" x14ac:dyDescent="0.2">
      <c r="E100" s="56">
        <f>Calculation!B114</f>
        <v>46038</v>
      </c>
      <c r="F100">
        <f>F101*(1+Calculation!N114)</f>
        <v>525305.30337523227</v>
      </c>
      <c r="G100" s="3">
        <f>Calculation!$C$10</f>
        <v>500000</v>
      </c>
      <c r="H100" s="3"/>
      <c r="I100" s="79">
        <f ca="1">ABS(PERCENTILE(OFFSET(Calculation!$N$16, ROW()-2, 0, 30, 1), 0.05))*500000</f>
        <v>4311.0524274353775</v>
      </c>
      <c r="J100" s="81">
        <f ca="1">ABS(PERCENTILE(OFFSET(Calculation!$N$16, ROW()-2, 0, 30, 1), 0.01))*500000</f>
        <v>6548.3768772300818</v>
      </c>
    </row>
    <row r="101" spans="5:10" x14ac:dyDescent="0.2">
      <c r="E101" s="56">
        <f>Calculation!B115</f>
        <v>46036</v>
      </c>
      <c r="F101">
        <f>F102*(1+Calculation!N115)</f>
        <v>528711.98728639469</v>
      </c>
      <c r="G101" s="3">
        <f>Calculation!$C$10</f>
        <v>500000</v>
      </c>
      <c r="H101" s="3"/>
      <c r="I101" s="79">
        <f ca="1">ABS(PERCENTILE(OFFSET(Calculation!$N$16, ROW()-2, 0, 30, 1), 0.05))*500000</f>
        <v>4311.0524274353775</v>
      </c>
      <c r="J101" s="81">
        <f ca="1">ABS(PERCENTILE(OFFSET(Calculation!$N$16, ROW()-2, 0, 30, 1), 0.01))*500000</f>
        <v>6548.3768772300818</v>
      </c>
    </row>
    <row r="102" spans="5:10" x14ac:dyDescent="0.2">
      <c r="E102" s="56">
        <f>Calculation!B116</f>
        <v>46035</v>
      </c>
      <c r="F102">
        <f>F103*(1+Calculation!N116)</f>
        <v>530565.55130749778</v>
      </c>
      <c r="G102" s="3">
        <f>Calculation!$C$10</f>
        <v>500000</v>
      </c>
      <c r="H102" s="3"/>
      <c r="I102" s="79">
        <f ca="1">ABS(PERCENTILE(OFFSET(Calculation!$N$16, ROW()-2, 0, 30, 1), 0.05))*500000</f>
        <v>4311.0524274353775</v>
      </c>
      <c r="J102" s="81">
        <f ca="1">ABS(PERCENTILE(OFFSET(Calculation!$N$16, ROW()-2, 0, 30, 1), 0.01))*500000</f>
        <v>6548.3768772300818</v>
      </c>
    </row>
    <row r="103" spans="5:10" x14ac:dyDescent="0.2">
      <c r="E103" s="56">
        <f>Calculation!B117</f>
        <v>46034</v>
      </c>
      <c r="F103">
        <f>F104*(1+Calculation!N117)</f>
        <v>530725.38497858786</v>
      </c>
      <c r="G103" s="3">
        <f>Calculation!$C$10</f>
        <v>500000</v>
      </c>
      <c r="H103" s="3"/>
      <c r="I103" s="79">
        <f ca="1">ABS(PERCENTILE(OFFSET(Calculation!$N$16, ROW()-2, 0, 30, 1), 0.05))*500000</f>
        <v>4311.0524274353775</v>
      </c>
      <c r="J103" s="81">
        <f ca="1">ABS(PERCENTILE(OFFSET(Calculation!$N$16, ROW()-2, 0, 30, 1), 0.01))*500000</f>
        <v>6548.3768772300818</v>
      </c>
    </row>
    <row r="104" spans="5:10" x14ac:dyDescent="0.2">
      <c r="E104" s="56">
        <f>Calculation!B118</f>
        <v>46031</v>
      </c>
      <c r="F104">
        <f>F105*(1+Calculation!N118)</f>
        <v>530274.24410809239</v>
      </c>
      <c r="G104" s="3">
        <f>Calculation!$C$10</f>
        <v>500000</v>
      </c>
      <c r="H104" s="3"/>
      <c r="I104" s="79">
        <f ca="1">ABS(PERCENTILE(OFFSET(Calculation!$N$16, ROW()-2, 0, 30, 1), 0.05))*500000</f>
        <v>4311.0524274353775</v>
      </c>
      <c r="J104" s="81">
        <f ca="1">ABS(PERCENTILE(OFFSET(Calculation!$N$16, ROW()-2, 0, 30, 1), 0.01))*500000</f>
        <v>6548.3768772300818</v>
      </c>
    </row>
    <row r="105" spans="5:10" x14ac:dyDescent="0.2">
      <c r="E105" s="56">
        <f>Calculation!B119</f>
        <v>46030</v>
      </c>
      <c r="F105">
        <f>F106*(1+Calculation!N119)</f>
        <v>534784.64239112404</v>
      </c>
      <c r="G105" s="3">
        <f>Calculation!$C$10</f>
        <v>500000</v>
      </c>
      <c r="H105" s="3"/>
      <c r="I105" s="79">
        <f ca="1">ABS(PERCENTILE(OFFSET(Calculation!$N$16, ROW()-2, 0, 30, 1), 0.05))*500000</f>
        <v>4047.4999529188422</v>
      </c>
      <c r="J105" s="81">
        <f ca="1">ABS(PERCENTILE(OFFSET(Calculation!$N$16, ROW()-2, 0, 30, 1), 0.01))*500000</f>
        <v>6548.3768772300818</v>
      </c>
    </row>
    <row r="106" spans="5:10" x14ac:dyDescent="0.2">
      <c r="E106" s="56">
        <f>Calculation!B120</f>
        <v>46029</v>
      </c>
      <c r="F106">
        <f>F107*(1+Calculation!N120)</f>
        <v>539519.44952956564</v>
      </c>
      <c r="G106" s="3">
        <f>Calculation!$C$10</f>
        <v>500000</v>
      </c>
      <c r="H106" s="3"/>
      <c r="I106" s="79">
        <f ca="1">ABS(PERCENTILE(OFFSET(Calculation!$N$16, ROW()-2, 0, 30, 1), 0.05))*500000</f>
        <v>3397.0492082203423</v>
      </c>
      <c r="J106" s="81">
        <f ca="1">ABS(PERCENTILE(OFFSET(Calculation!$N$16, ROW()-2, 0, 30, 1), 0.01))*500000</f>
        <v>6328.9528010029871</v>
      </c>
    </row>
    <row r="107" spans="5:10" x14ac:dyDescent="0.2">
      <c r="E107" s="56">
        <f>Calculation!B121</f>
        <v>46028</v>
      </c>
      <c r="F107">
        <f>F108*(1+Calculation!N121)</f>
        <v>538927.33072334877</v>
      </c>
      <c r="G107" s="3">
        <f>Calculation!$C$10</f>
        <v>500000</v>
      </c>
      <c r="H107" s="3"/>
      <c r="I107" s="79">
        <f ca="1">ABS(PERCENTILE(OFFSET(Calculation!$N$16, ROW()-2, 0, 30, 1), 0.05))*500000</f>
        <v>3397.0492082203423</v>
      </c>
      <c r="J107" s="81">
        <f ca="1">ABS(PERCENTILE(OFFSET(Calculation!$N$16, ROW()-2, 0, 30, 1), 0.01))*500000</f>
        <v>6328.9528010029871</v>
      </c>
    </row>
    <row r="108" spans="5:10" x14ac:dyDescent="0.2">
      <c r="E108" s="56">
        <f>Calculation!B122</f>
        <v>46027</v>
      </c>
      <c r="F108">
        <f>F109*(1+Calculation!N122)</f>
        <v>533509.83155803243</v>
      </c>
      <c r="G108" s="3">
        <f>Calculation!$C$10</f>
        <v>500000</v>
      </c>
      <c r="H108" s="3"/>
      <c r="I108" s="79">
        <f ca="1">ABS(PERCENTILE(OFFSET(Calculation!$N$16, ROW()-2, 0, 30, 1), 0.05))*500000</f>
        <v>3777.6603944828198</v>
      </c>
      <c r="J108" s="81">
        <f ca="1">ABS(PERCENTILE(OFFSET(Calculation!$N$16, ROW()-2, 0, 30, 1), 0.01))*500000</f>
        <v>6406.097837327452</v>
      </c>
    </row>
    <row r="109" spans="5:10" x14ac:dyDescent="0.2">
      <c r="E109" s="56">
        <f>Calculation!B123</f>
        <v>46024</v>
      </c>
      <c r="F109">
        <f>F110*(1+Calculation!N123)</f>
        <v>528397.4961693068</v>
      </c>
      <c r="G109" s="3">
        <f>Calculation!$C$10</f>
        <v>500000</v>
      </c>
      <c r="H109" s="3"/>
      <c r="I109" s="79">
        <f ca="1">ABS(PERCENTILE(OFFSET(Calculation!$N$16, ROW()-2, 0, 30, 1), 0.05))*500000</f>
        <v>4063.3116972572598</v>
      </c>
      <c r="J109" s="81">
        <f ca="1">ABS(PERCENTILE(OFFSET(Calculation!$N$16, ROW()-2, 0, 30, 1), 0.01))*500000</f>
        <v>6493.595312706685</v>
      </c>
    </row>
    <row r="110" spans="5:10" x14ac:dyDescent="0.2">
      <c r="E110" s="56">
        <f>Calculation!B124</f>
        <v>46023</v>
      </c>
      <c r="F110">
        <f>F111*(1+Calculation!N124)</f>
        <v>519050.94943288702</v>
      </c>
      <c r="G110" s="3">
        <f>Calculation!$C$10</f>
        <v>500000</v>
      </c>
      <c r="H110" s="3"/>
      <c r="I110" s="79">
        <f ca="1">ABS(PERCENTILE(OFFSET(Calculation!$N$16, ROW()-2, 0, 30, 1), 0.05))*500000</f>
        <v>4063.3116972572598</v>
      </c>
      <c r="J110" s="81">
        <f ca="1">ABS(PERCENTILE(OFFSET(Calculation!$N$16, ROW()-2, 0, 30, 1), 0.01))*500000</f>
        <v>6493.595312706685</v>
      </c>
    </row>
    <row r="111" spans="5:10" x14ac:dyDescent="0.2">
      <c r="E111" s="56">
        <f>Calculation!B125</f>
        <v>46022</v>
      </c>
      <c r="F111">
        <f>F112*(1+Calculation!N125)</f>
        <v>518922.31746336154</v>
      </c>
      <c r="G111" s="3">
        <f>Calculation!$C$10</f>
        <v>500000</v>
      </c>
      <c r="H111" s="3"/>
      <c r="I111" s="79">
        <f ca="1">ABS(PERCENTILE(OFFSET(Calculation!$N$16, ROW()-2, 0, 30, 1), 0.05))*500000</f>
        <v>4063.3116972572598</v>
      </c>
      <c r="J111" s="81">
        <f ca="1">ABS(PERCENTILE(OFFSET(Calculation!$N$16, ROW()-2, 0, 30, 1), 0.01))*500000</f>
        <v>6493.595312706685</v>
      </c>
    </row>
    <row r="112" spans="5:10" x14ac:dyDescent="0.2">
      <c r="E112" s="56">
        <f>Calculation!B126</f>
        <v>46021</v>
      </c>
      <c r="F112">
        <f>F113*(1+Calculation!N126)</f>
        <v>513005.66546277818</v>
      </c>
      <c r="G112" s="3">
        <f>Calculation!$C$10</f>
        <v>500000</v>
      </c>
      <c r="H112" s="3"/>
      <c r="I112" s="79">
        <f ca="1">ABS(PERCENTILE(OFFSET(Calculation!$N$16, ROW()-2, 0, 30, 1), 0.05))*500000</f>
        <v>4063.3116972572598</v>
      </c>
      <c r="J112" s="81">
        <f ca="1">ABS(PERCENTILE(OFFSET(Calculation!$N$16, ROW()-2, 0, 30, 1), 0.01))*500000</f>
        <v>6493.595312706685</v>
      </c>
    </row>
    <row r="113" spans="5:10" x14ac:dyDescent="0.2">
      <c r="E113" s="56">
        <f>Calculation!B127</f>
        <v>46020</v>
      </c>
      <c r="F113">
        <f>F114*(1+Calculation!N127)</f>
        <v>515162.42317282018</v>
      </c>
      <c r="G113" s="3">
        <f>Calculation!$C$10</f>
        <v>500000</v>
      </c>
      <c r="H113" s="3"/>
      <c r="I113" s="79">
        <f ca="1">ABS(PERCENTILE(OFFSET(Calculation!$N$16, ROW()-2, 0, 30, 1), 0.05))*500000</f>
        <v>4063.3116972572598</v>
      </c>
      <c r="J113" s="81">
        <f ca="1">ABS(PERCENTILE(OFFSET(Calculation!$N$16, ROW()-2, 0, 30, 1), 0.01))*500000</f>
        <v>6493.595312706685</v>
      </c>
    </row>
    <row r="114" spans="5:10" x14ac:dyDescent="0.2">
      <c r="E114" s="56">
        <f>Calculation!B128</f>
        <v>46017</v>
      </c>
      <c r="F114">
        <f>F115*(1+Calculation!N128)</f>
        <v>515985.26222882827</v>
      </c>
      <c r="G114" s="3">
        <f>Calculation!$C$10</f>
        <v>500000</v>
      </c>
      <c r="H114" s="3"/>
      <c r="I114" s="79">
        <f ca="1">ABS(PERCENTILE(OFFSET(Calculation!$N$16, ROW()-2, 0, 30, 1), 0.05))*500000</f>
        <v>4472.0139911301894</v>
      </c>
      <c r="J114" s="81">
        <f ca="1">ABS(PERCENTILE(OFFSET(Calculation!$N$16, ROW()-2, 0, 30, 1), 0.01))*500000</f>
        <v>6637.5040423475848</v>
      </c>
    </row>
    <row r="115" spans="5:10" x14ac:dyDescent="0.2">
      <c r="E115" s="56">
        <f>Calculation!B129</f>
        <v>46015</v>
      </c>
      <c r="F115">
        <f>F116*(1+Calculation!N129)</f>
        <v>515969.28202401765</v>
      </c>
      <c r="G115" s="3">
        <f>Calculation!$C$10</f>
        <v>500000</v>
      </c>
      <c r="H115" s="3"/>
      <c r="I115" s="79">
        <f ca="1">ABS(PERCENTILE(OFFSET(Calculation!$N$16, ROW()-2, 0, 30, 1), 0.05))*500000</f>
        <v>4472.0139911301894</v>
      </c>
      <c r="J115" s="81">
        <f ca="1">ABS(PERCENTILE(OFFSET(Calculation!$N$16, ROW()-2, 0, 30, 1), 0.01))*500000</f>
        <v>6637.5040423475848</v>
      </c>
    </row>
    <row r="116" spans="5:10" x14ac:dyDescent="0.2">
      <c r="E116" s="56">
        <f>Calculation!B130</f>
        <v>46014</v>
      </c>
      <c r="F116">
        <f>F117*(1+Calculation!N130)</f>
        <v>516003.34698138095</v>
      </c>
      <c r="G116" s="3">
        <f>Calculation!$C$10</f>
        <v>500000</v>
      </c>
      <c r="H116" s="3"/>
      <c r="I116" s="79">
        <f ca="1">ABS(PERCENTILE(OFFSET(Calculation!$N$16, ROW()-2, 0, 30, 1), 0.05))*500000</f>
        <v>4472.0139911301894</v>
      </c>
      <c r="J116" s="81">
        <f ca="1">ABS(PERCENTILE(OFFSET(Calculation!$N$16, ROW()-2, 0, 30, 1), 0.01))*500000</f>
        <v>6637.5040423475848</v>
      </c>
    </row>
    <row r="117" spans="5:10" x14ac:dyDescent="0.2">
      <c r="E117" s="56">
        <f>Calculation!B131</f>
        <v>46013</v>
      </c>
      <c r="F117">
        <f>F118*(1+Calculation!N131)</f>
        <v>514767.58180779329</v>
      </c>
      <c r="G117" s="3">
        <f>Calculation!$C$10</f>
        <v>500000</v>
      </c>
      <c r="H117" s="3"/>
      <c r="I117" s="79">
        <f ca="1">ABS(PERCENTILE(OFFSET(Calculation!$N$16, ROW()-2, 0, 30, 1), 0.05))*500000</f>
        <v>4472.0139911301894</v>
      </c>
      <c r="J117" s="81">
        <f ca="1">ABS(PERCENTILE(OFFSET(Calculation!$N$16, ROW()-2, 0, 30, 1), 0.01))*500000</f>
        <v>6637.5040423475848</v>
      </c>
    </row>
    <row r="118" spans="5:10" x14ac:dyDescent="0.2">
      <c r="E118" s="56">
        <f>Calculation!B132</f>
        <v>46010</v>
      </c>
      <c r="F118">
        <f>F119*(1+Calculation!N132)</f>
        <v>512411.09165600629</v>
      </c>
      <c r="G118" s="3">
        <f>Calculation!$C$10</f>
        <v>500000</v>
      </c>
      <c r="H118" s="3"/>
      <c r="I118" s="79">
        <f ca="1">ABS(PERCENTILE(OFFSET(Calculation!$N$16, ROW()-2, 0, 30, 1), 0.05))*500000</f>
        <v>4472.0139911301894</v>
      </c>
      <c r="J118" s="81">
        <f ca="1">ABS(PERCENTILE(OFFSET(Calculation!$N$16, ROW()-2, 0, 30, 1), 0.01))*500000</f>
        <v>6637.5040423475848</v>
      </c>
    </row>
    <row r="119" spans="5:10" x14ac:dyDescent="0.2">
      <c r="E119" s="56">
        <f>Calculation!B133</f>
        <v>46009</v>
      </c>
      <c r="F119">
        <f>F120*(1+Calculation!N133)</f>
        <v>508495.13556364574</v>
      </c>
      <c r="G119" s="3">
        <f>Calculation!$C$10</f>
        <v>500000</v>
      </c>
      <c r="H119" s="3"/>
      <c r="I119" s="79">
        <f ca="1">ABS(PERCENTILE(OFFSET(Calculation!$N$16, ROW()-2, 0, 30, 1), 0.05))*500000</f>
        <v>4481.1622636656803</v>
      </c>
      <c r="J119" s="81">
        <f ca="1">ABS(PERCENTILE(OFFSET(Calculation!$N$16, ROW()-2, 0, 30, 1), 0.01))*500000</f>
        <v>6637.5040423475848</v>
      </c>
    </row>
    <row r="120" spans="5:10" x14ac:dyDescent="0.2">
      <c r="E120" s="56">
        <f>Calculation!B134</f>
        <v>46008</v>
      </c>
      <c r="F120">
        <f>F121*(1+Calculation!N134)</f>
        <v>508435.77094343613</v>
      </c>
      <c r="G120" s="3">
        <f>Calculation!$C$10</f>
        <v>500000</v>
      </c>
      <c r="H120" s="3"/>
      <c r="I120" s="79">
        <f ca="1">ABS(PERCENTILE(OFFSET(Calculation!$N$16, ROW()-2, 0, 30, 1), 0.05))*500000</f>
        <v>4481.1622636656803</v>
      </c>
      <c r="J120" s="81">
        <f ca="1">ABS(PERCENTILE(OFFSET(Calculation!$N$16, ROW()-2, 0, 30, 1), 0.01))*500000</f>
        <v>6637.5040423475848</v>
      </c>
    </row>
    <row r="121" spans="5:10" x14ac:dyDescent="0.2">
      <c r="E121" s="56">
        <f>Calculation!B135</f>
        <v>46007</v>
      </c>
      <c r="F121">
        <f>F122*(1+Calculation!N135)</f>
        <v>511618.73583815806</v>
      </c>
      <c r="G121" s="3">
        <f>Calculation!$C$10</f>
        <v>500000</v>
      </c>
      <c r="H121" s="3"/>
      <c r="I121" s="79">
        <f ca="1">ABS(PERCENTILE(OFFSET(Calculation!$N$16, ROW()-2, 0, 30, 1), 0.05))*500000</f>
        <v>4481.1622636656803</v>
      </c>
      <c r="J121" s="81">
        <f ca="1">ABS(PERCENTILE(OFFSET(Calculation!$N$16, ROW()-2, 0, 30, 1), 0.01))*500000</f>
        <v>6637.5040423475848</v>
      </c>
    </row>
    <row r="122" spans="5:10" x14ac:dyDescent="0.2">
      <c r="E122" s="56">
        <f>Calculation!B136</f>
        <v>46006</v>
      </c>
      <c r="F122">
        <f>F123*(1+Calculation!N136)</f>
        <v>514784.63760168938</v>
      </c>
      <c r="G122" s="3">
        <f>Calculation!$C$10</f>
        <v>500000</v>
      </c>
      <c r="H122" s="3"/>
      <c r="I122" s="79">
        <f ca="1">ABS(PERCENTILE(OFFSET(Calculation!$N$16, ROW()-2, 0, 30, 1), 0.05))*500000</f>
        <v>4481.1622636656803</v>
      </c>
      <c r="J122" s="81">
        <f ca="1">ABS(PERCENTILE(OFFSET(Calculation!$N$16, ROW()-2, 0, 30, 1), 0.01))*500000</f>
        <v>6637.5040423475848</v>
      </c>
    </row>
    <row r="123" spans="5:10" x14ac:dyDescent="0.2">
      <c r="E123" s="56">
        <f>Calculation!B137</f>
        <v>46003</v>
      </c>
      <c r="F123">
        <f>F124*(1+Calculation!N137)</f>
        <v>516395.09387220163</v>
      </c>
      <c r="G123" s="3">
        <f>Calculation!$C$10</f>
        <v>500000</v>
      </c>
      <c r="H123" s="3"/>
      <c r="I123" s="79">
        <f ca="1">ABS(PERCENTILE(OFFSET(Calculation!$N$16, ROW()-2, 0, 30, 1), 0.05))*500000</f>
        <v>4481.1622636656803</v>
      </c>
      <c r="J123" s="81">
        <f ca="1">ABS(PERCENTILE(OFFSET(Calculation!$N$16, ROW()-2, 0, 30, 1), 0.01))*500000</f>
        <v>6637.5040423475848</v>
      </c>
    </row>
    <row r="124" spans="5:10" x14ac:dyDescent="0.2">
      <c r="E124" s="56">
        <f>Calculation!B138</f>
        <v>46002</v>
      </c>
      <c r="F124">
        <f>F125*(1+Calculation!N138)</f>
        <v>512231.65196855547</v>
      </c>
      <c r="G124" s="3">
        <f>Calculation!$C$10</f>
        <v>500000</v>
      </c>
      <c r="H124" s="3"/>
      <c r="I124" s="79">
        <f ca="1">ABS(PERCENTILE(OFFSET(Calculation!$N$16, ROW()-2, 0, 30, 1), 0.05))*500000</f>
        <v>4481.1622636656803</v>
      </c>
      <c r="J124" s="81">
        <f ca="1">ABS(PERCENTILE(OFFSET(Calculation!$N$16, ROW()-2, 0, 30, 1), 0.01))*500000</f>
        <v>6637.5040423475848</v>
      </c>
    </row>
    <row r="125" spans="5:10" x14ac:dyDescent="0.2">
      <c r="E125" s="56">
        <f>Calculation!B139</f>
        <v>46001</v>
      </c>
      <c r="F125">
        <f>F126*(1+Calculation!N139)</f>
        <v>505903.37136451283</v>
      </c>
      <c r="G125" s="3">
        <f>Calculation!$C$10</f>
        <v>500000</v>
      </c>
      <c r="H125" s="3"/>
      <c r="I125" s="79">
        <f ca="1">ABS(PERCENTILE(OFFSET(Calculation!$N$16, ROW()-2, 0, 30, 1), 0.05))*500000</f>
        <v>4481.1622636656803</v>
      </c>
      <c r="J125" s="81">
        <f ca="1">ABS(PERCENTILE(OFFSET(Calculation!$N$16, ROW()-2, 0, 30, 1), 0.01))*500000</f>
        <v>6637.5040423475848</v>
      </c>
    </row>
    <row r="126" spans="5:10" x14ac:dyDescent="0.2">
      <c r="E126" s="56">
        <f>Calculation!B140</f>
        <v>46000</v>
      </c>
      <c r="F126">
        <f>F127*(1+Calculation!N140)</f>
        <v>508741.14743606595</v>
      </c>
      <c r="G126" s="3">
        <f>Calculation!$C$10</f>
        <v>500000</v>
      </c>
      <c r="H126" s="3"/>
      <c r="I126" s="79">
        <f ca="1">ABS(PERCENTILE(OFFSET(Calculation!$N$16, ROW()-2, 0, 30, 1), 0.05))*500000</f>
        <v>4601.7471954130706</v>
      </c>
      <c r="J126" s="81">
        <f ca="1">ABS(PERCENTILE(OFFSET(Calculation!$N$16, ROW()-2, 0, 30, 1), 0.01))*500000</f>
        <v>6637.5040423475848</v>
      </c>
    </row>
    <row r="127" spans="5:10" x14ac:dyDescent="0.2">
      <c r="E127" s="56">
        <f>Calculation!B141</f>
        <v>45999</v>
      </c>
      <c r="F127">
        <f>F128*(1+Calculation!N141)</f>
        <v>509591.78857264813</v>
      </c>
      <c r="G127" s="3">
        <f>Calculation!$C$10</f>
        <v>500000</v>
      </c>
      <c r="H127" s="3"/>
      <c r="I127" s="79">
        <f ca="1">ABS(PERCENTILE(OFFSET(Calculation!$N$16, ROW()-2, 0, 30, 1), 0.05))*500000</f>
        <v>4601.7471954130706</v>
      </c>
      <c r="J127" s="81">
        <f ca="1">ABS(PERCENTILE(OFFSET(Calculation!$N$16, ROW()-2, 0, 30, 1), 0.01))*500000</f>
        <v>6637.5040423475848</v>
      </c>
    </row>
    <row r="128" spans="5:10" x14ac:dyDescent="0.2">
      <c r="E128" s="56">
        <f>Calculation!B142</f>
        <v>45996</v>
      </c>
      <c r="F128">
        <f>F129*(1+Calculation!N142)</f>
        <v>517279.37765416445</v>
      </c>
      <c r="G128" s="3">
        <f>Calculation!$C$10</f>
        <v>500000</v>
      </c>
      <c r="H128" s="3"/>
      <c r="I128" s="79">
        <f ca="1">ABS(PERCENTILE(OFFSET(Calculation!$N$16, ROW()-2, 0, 30, 1), 0.05))*500000</f>
        <v>4366.7947195813649</v>
      </c>
      <c r="J128" s="81">
        <f ca="1">ABS(PERCENTILE(OFFSET(Calculation!$N$16, ROW()-2, 0, 30, 1), 0.01))*500000</f>
        <v>4635.0177536921447</v>
      </c>
    </row>
    <row r="129" spans="5:10" x14ac:dyDescent="0.2">
      <c r="E129" s="56">
        <f>Calculation!B143</f>
        <v>45995</v>
      </c>
      <c r="F129">
        <f>F130*(1+Calculation!N143)</f>
        <v>517516.07408603618</v>
      </c>
      <c r="G129" s="3">
        <f>Calculation!$C$10</f>
        <v>500000</v>
      </c>
      <c r="H129" s="3"/>
      <c r="I129" s="79">
        <f ca="1">ABS(PERCENTILE(OFFSET(Calculation!$N$16, ROW()-2, 0, 30, 1), 0.05))*500000</f>
        <v>4530.8663440047267</v>
      </c>
      <c r="J129" s="81">
        <f ca="1">ABS(PERCENTILE(OFFSET(Calculation!$N$16, ROW()-2, 0, 30, 1), 0.01))*500000</f>
        <v>4657.9471007394741</v>
      </c>
    </row>
    <row r="130" spans="5:10" x14ac:dyDescent="0.2">
      <c r="E130" s="56">
        <f>Calculation!B144</f>
        <v>45994</v>
      </c>
      <c r="F130">
        <f>F131*(1+Calculation!N144)</f>
        <v>515964.37084760639</v>
      </c>
      <c r="G130" s="3">
        <f>Calculation!$C$10</f>
        <v>500000</v>
      </c>
      <c r="H130" s="3"/>
      <c r="I130" s="79">
        <f ca="1">ABS(PERCENTILE(OFFSET(Calculation!$N$16, ROW()-2, 0, 30, 1), 0.05))*500000</f>
        <v>4530.8663440047267</v>
      </c>
      <c r="J130" s="81">
        <f ca="1">ABS(PERCENTILE(OFFSET(Calculation!$N$16, ROW()-2, 0, 30, 1), 0.01))*500000</f>
        <v>4657.9471007394741</v>
      </c>
    </row>
    <row r="131" spans="5:10" x14ac:dyDescent="0.2">
      <c r="E131" s="56">
        <f>Calculation!B145</f>
        <v>45993</v>
      </c>
      <c r="F131">
        <f>F132*(1+Calculation!N145)</f>
        <v>516938.57173081487</v>
      </c>
      <c r="G131" s="3">
        <f>Calculation!$C$10</f>
        <v>500000</v>
      </c>
      <c r="H131" s="3"/>
      <c r="I131" s="79">
        <f ca="1">ABS(PERCENTILE(OFFSET(Calculation!$N$16, ROW()-2, 0, 30, 1), 0.05))*500000</f>
        <v>4530.8663440047267</v>
      </c>
      <c r="J131" s="81">
        <f ca="1">ABS(PERCENTILE(OFFSET(Calculation!$N$16, ROW()-2, 0, 30, 1), 0.01))*500000</f>
        <v>4657.9471007394741</v>
      </c>
    </row>
    <row r="132" spans="5:10" x14ac:dyDescent="0.2">
      <c r="E132" s="56">
        <f>Calculation!B146</f>
        <v>45992</v>
      </c>
      <c r="F132">
        <f>F133*(1+Calculation!N146)</f>
        <v>516464.63396395161</v>
      </c>
      <c r="G132" s="3">
        <f>Calculation!$C$10</f>
        <v>500000</v>
      </c>
      <c r="H132" s="3"/>
      <c r="I132" s="79">
        <f ca="1">ABS(PERCENTILE(OFFSET(Calculation!$N$16, ROW()-2, 0, 30, 1), 0.05))*500000</f>
        <v>4530.8663440047267</v>
      </c>
      <c r="J132" s="81">
        <f ca="1">ABS(PERCENTILE(OFFSET(Calculation!$N$16, ROW()-2, 0, 30, 1), 0.01))*500000</f>
        <v>4657.9471007394741</v>
      </c>
    </row>
    <row r="133" spans="5:10" x14ac:dyDescent="0.2">
      <c r="E133" s="56">
        <f>Calculation!B147</f>
        <v>45989</v>
      </c>
      <c r="F133">
        <f>F134*(1+Calculation!N147)</f>
        <v>515843.73733587033</v>
      </c>
      <c r="G133" s="3">
        <f>Calculation!$C$10</f>
        <v>500000</v>
      </c>
      <c r="H133" s="3"/>
      <c r="I133" s="79">
        <f ca="1">ABS(PERCENTILE(OFFSET(Calculation!$N$16, ROW()-2, 0, 30, 1), 0.05))*500000</f>
        <v>4530.8663440047267</v>
      </c>
      <c r="J133" s="81">
        <f ca="1">ABS(PERCENTILE(OFFSET(Calculation!$N$16, ROW()-2, 0, 30, 1), 0.01))*500000</f>
        <v>4657.9471007394741</v>
      </c>
    </row>
    <row r="134" spans="5:10" x14ac:dyDescent="0.2">
      <c r="E134" s="56">
        <f>Calculation!B148</f>
        <v>45988</v>
      </c>
      <c r="F134">
        <f>F135*(1+Calculation!N148)</f>
        <v>517469.55556293769</v>
      </c>
      <c r="G134" s="3">
        <f>Calculation!$C$10</f>
        <v>500000</v>
      </c>
      <c r="H134" s="3"/>
      <c r="I134" s="79">
        <f ca="1">ABS(PERCENTILE(OFFSET(Calculation!$N$16, ROW()-2, 0, 30, 1), 0.05))*500000</f>
        <v>4530.8663440047267</v>
      </c>
      <c r="J134" s="81">
        <f ca="1">ABS(PERCENTILE(OFFSET(Calculation!$N$16, ROW()-2, 0, 30, 1), 0.01))*500000</f>
        <v>4657.9471007394741</v>
      </c>
    </row>
    <row r="135" spans="5:10" x14ac:dyDescent="0.2">
      <c r="E135" s="56">
        <f>Calculation!B149</f>
        <v>45987</v>
      </c>
      <c r="F135">
        <f>F136*(1+Calculation!N149)</f>
        <v>521255.27714290569</v>
      </c>
      <c r="G135" s="3">
        <f>Calculation!$C$10</f>
        <v>500000</v>
      </c>
      <c r="H135" s="3"/>
      <c r="I135" s="79">
        <f ca="1">ABS(PERCENTILE(OFFSET(Calculation!$N$16, ROW()-2, 0, 30, 1), 0.05))*500000</f>
        <v>4614.1142197672298</v>
      </c>
      <c r="J135" s="81">
        <f ca="1">ABS(PERCENTILE(OFFSET(Calculation!$N$16, ROW()-2, 0, 30, 1), 0.01))*500000</f>
        <v>4683.0810603755244</v>
      </c>
    </row>
    <row r="136" spans="5:10" x14ac:dyDescent="0.2">
      <c r="E136" s="56">
        <f>Calculation!B150</f>
        <v>45986</v>
      </c>
      <c r="F136">
        <f>F137*(1+Calculation!N150)</f>
        <v>513758.05452075612</v>
      </c>
      <c r="G136" s="3">
        <f>Calculation!$C$10</f>
        <v>500000</v>
      </c>
      <c r="H136" s="3"/>
      <c r="I136" s="79">
        <f ca="1">ABS(PERCENTILE(OFFSET(Calculation!$N$16, ROW()-2, 0, 30, 1), 0.05))*500000</f>
        <v>4614.1142197672298</v>
      </c>
      <c r="J136" s="81">
        <f ca="1">ABS(PERCENTILE(OFFSET(Calculation!$N$16, ROW()-2, 0, 30, 1), 0.01))*500000</f>
        <v>4683.0810603755244</v>
      </c>
    </row>
    <row r="137" spans="5:10" x14ac:dyDescent="0.2">
      <c r="E137" s="56">
        <f>Calculation!B151</f>
        <v>45985</v>
      </c>
      <c r="F137">
        <f>F138*(1+Calculation!N151)</f>
        <v>514440.01197358349</v>
      </c>
      <c r="G137" s="3">
        <f>Calculation!$C$10</f>
        <v>500000</v>
      </c>
      <c r="H137" s="3"/>
      <c r="I137" s="79">
        <f ca="1">ABS(PERCENTILE(OFFSET(Calculation!$N$16, ROW()-2, 0, 30, 1), 0.05))*500000</f>
        <v>4614.1142197672298</v>
      </c>
      <c r="J137" s="81">
        <f ca="1">ABS(PERCENTILE(OFFSET(Calculation!$N$16, ROW()-2, 0, 30, 1), 0.01))*500000</f>
        <v>4683.0810603755244</v>
      </c>
    </row>
    <row r="138" spans="5:10" x14ac:dyDescent="0.2">
      <c r="E138" s="56">
        <f>Calculation!B152</f>
        <v>45982</v>
      </c>
      <c r="F138">
        <f>F139*(1+Calculation!N152)</f>
        <v>518481.43812185532</v>
      </c>
      <c r="G138" s="3">
        <f>Calculation!$C$10</f>
        <v>500000</v>
      </c>
      <c r="H138" s="3"/>
      <c r="I138" s="79">
        <f ca="1">ABS(PERCENTILE(OFFSET(Calculation!$N$16, ROW()-2, 0, 30, 1), 0.05))*500000</f>
        <v>4614.1142197672298</v>
      </c>
      <c r="J138" s="81">
        <f ca="1">ABS(PERCENTILE(OFFSET(Calculation!$N$16, ROW()-2, 0, 30, 1), 0.01))*500000</f>
        <v>4683.0810603755244</v>
      </c>
    </row>
    <row r="139" spans="5:10" x14ac:dyDescent="0.2">
      <c r="E139" s="56">
        <f>Calculation!B153</f>
        <v>45981</v>
      </c>
      <c r="F139">
        <f>F140*(1+Calculation!N153)</f>
        <v>522872.60976670036</v>
      </c>
      <c r="G139" s="3">
        <f>Calculation!$C$10</f>
        <v>500000</v>
      </c>
      <c r="H139" s="3"/>
      <c r="I139" s="79">
        <f ca="1">ABS(PERCENTILE(OFFSET(Calculation!$N$16, ROW()-2, 0, 30, 1), 0.05))*500000</f>
        <v>4614.1142197672298</v>
      </c>
      <c r="J139" s="81">
        <f ca="1">ABS(PERCENTILE(OFFSET(Calculation!$N$16, ROW()-2, 0, 30, 1), 0.01))*500000</f>
        <v>4683.0810603755244</v>
      </c>
    </row>
    <row r="140" spans="5:10" x14ac:dyDescent="0.2">
      <c r="E140" s="56">
        <f>Calculation!B154</f>
        <v>45980</v>
      </c>
      <c r="F140">
        <f>F141*(1+Calculation!N154)</f>
        <v>520354.45113010722</v>
      </c>
      <c r="G140" s="3">
        <f>Calculation!$C$10</f>
        <v>500000</v>
      </c>
      <c r="H140" s="3"/>
      <c r="I140" s="79">
        <f ca="1">ABS(PERCENTILE(OFFSET(Calculation!$N$16, ROW()-2, 0, 30, 1), 0.05))*500000</f>
        <v>4614.1142197672298</v>
      </c>
      <c r="J140" s="81">
        <f ca="1">ABS(PERCENTILE(OFFSET(Calculation!$N$16, ROW()-2, 0, 30, 1), 0.01))*500000</f>
        <v>4683.0810603755244</v>
      </c>
    </row>
    <row r="141" spans="5:10" x14ac:dyDescent="0.2">
      <c r="E141" s="56">
        <f>Calculation!B155</f>
        <v>45979</v>
      </c>
      <c r="F141">
        <f>F142*(1+Calculation!N155)</f>
        <v>521406.79552426923</v>
      </c>
      <c r="G141" s="3">
        <f>Calculation!$C$10</f>
        <v>500000</v>
      </c>
      <c r="H141" s="3"/>
      <c r="I141" s="79">
        <f ca="1">ABS(PERCENTILE(OFFSET(Calculation!$N$16, ROW()-2, 0, 30, 1), 0.05))*500000</f>
        <v>4614.1142197672298</v>
      </c>
      <c r="J141" s="81">
        <f ca="1">ABS(PERCENTILE(OFFSET(Calculation!$N$16, ROW()-2, 0, 30, 1), 0.01))*500000</f>
        <v>4683.0810603755244</v>
      </c>
    </row>
    <row r="142" spans="5:10" x14ac:dyDescent="0.2">
      <c r="E142" s="56">
        <f>Calculation!B156</f>
        <v>45978</v>
      </c>
      <c r="F142">
        <f>F143*(1+Calculation!N156)</f>
        <v>523136.49413264246</v>
      </c>
      <c r="G142" s="3">
        <f>Calculation!$C$10</f>
        <v>500000</v>
      </c>
      <c r="H142" s="3"/>
      <c r="I142" s="79">
        <f ca="1">ABS(PERCENTILE(OFFSET(Calculation!$N$16, ROW()-2, 0, 30, 1), 0.05))*500000</f>
        <v>4614.1142197672298</v>
      </c>
      <c r="J142" s="81">
        <f ca="1">ABS(PERCENTILE(OFFSET(Calculation!$N$16, ROW()-2, 0, 30, 1), 0.01))*500000</f>
        <v>4683.0810603755244</v>
      </c>
    </row>
    <row r="143" spans="5:10" x14ac:dyDescent="0.2">
      <c r="E143" s="56">
        <f>Calculation!B157</f>
        <v>45975</v>
      </c>
      <c r="F143">
        <f>F144*(1+Calculation!N157)</f>
        <v>521416.15952376183</v>
      </c>
      <c r="G143" s="3">
        <f>Calculation!$C$10</f>
        <v>500000</v>
      </c>
      <c r="H143" s="3"/>
      <c r="I143" s="79">
        <f ca="1">ABS(PERCENTILE(OFFSET(Calculation!$N$16, ROW()-2, 0, 30, 1), 0.05))*500000</f>
        <v>4614.1142197672298</v>
      </c>
      <c r="J143" s="81">
        <f ca="1">ABS(PERCENTILE(OFFSET(Calculation!$N$16, ROW()-2, 0, 30, 1), 0.01))*500000</f>
        <v>4683.0810603755244</v>
      </c>
    </row>
    <row r="144" spans="5:10" x14ac:dyDescent="0.2">
      <c r="E144" s="56">
        <f>Calculation!B158</f>
        <v>45974</v>
      </c>
      <c r="F144">
        <f>F145*(1+Calculation!N158)</f>
        <v>526359.00815443997</v>
      </c>
      <c r="G144" s="3">
        <f>Calculation!$C$10</f>
        <v>500000</v>
      </c>
      <c r="H144" s="3"/>
      <c r="I144" s="79">
        <f ca="1">ABS(PERCENTILE(OFFSET(Calculation!$N$16, ROW()-2, 0, 30, 1), 0.05))*500000</f>
        <v>4530.8663440047267</v>
      </c>
      <c r="J144" s="81">
        <f ca="1">ABS(PERCENTILE(OFFSET(Calculation!$N$16, ROW()-2, 0, 30, 1), 0.01))*500000</f>
        <v>4627.9812319802231</v>
      </c>
    </row>
    <row r="145" spans="5:10" x14ac:dyDescent="0.2">
      <c r="E145" s="56">
        <f>Calculation!B159</f>
        <v>45973</v>
      </c>
      <c r="F145">
        <f>F146*(1+Calculation!N159)</f>
        <v>524974.05419288739</v>
      </c>
      <c r="G145" s="3">
        <f>Calculation!$C$10</f>
        <v>500000</v>
      </c>
      <c r="H145" s="3"/>
      <c r="I145" s="79">
        <f ca="1">ABS(PERCENTILE(OFFSET(Calculation!$N$16, ROW()-2, 0, 30, 1), 0.05))*500000</f>
        <v>4530.8663440047267</v>
      </c>
      <c r="J145" s="81">
        <f ca="1">ABS(PERCENTILE(OFFSET(Calculation!$N$16, ROW()-2, 0, 30, 1), 0.01))*500000</f>
        <v>4627.9812319802231</v>
      </c>
    </row>
    <row r="146" spans="5:10" x14ac:dyDescent="0.2">
      <c r="E146" s="56">
        <f>Calculation!B160</f>
        <v>45972</v>
      </c>
      <c r="F146">
        <f>F147*(1+Calculation!N160)</f>
        <v>521484.69187702198</v>
      </c>
      <c r="G146" s="3">
        <f>Calculation!$C$10</f>
        <v>500000</v>
      </c>
      <c r="H146" s="3"/>
      <c r="I146" s="79">
        <f ca="1">ABS(PERCENTILE(OFFSET(Calculation!$N$16, ROW()-2, 0, 30, 1), 0.05))*500000</f>
        <v>4614.1142197672298</v>
      </c>
      <c r="J146" s="81">
        <f ca="1">ABS(PERCENTILE(OFFSET(Calculation!$N$16, ROW()-2, 0, 30, 1), 0.01))*500000</f>
        <v>6589.2590680582653</v>
      </c>
    </row>
    <row r="147" spans="5:10" x14ac:dyDescent="0.2">
      <c r="E147" s="56">
        <f>Calculation!B161</f>
        <v>45971</v>
      </c>
      <c r="F147">
        <f>F148*(1+Calculation!N161)</f>
        <v>523111.68002571946</v>
      </c>
      <c r="G147" s="3">
        <f>Calculation!$C$10</f>
        <v>500000</v>
      </c>
      <c r="H147" s="3"/>
      <c r="I147" s="79">
        <f ca="1">ABS(PERCENTILE(OFFSET(Calculation!$N$16, ROW()-2, 0, 30, 1), 0.05))*500000</f>
        <v>4757.6693182223025</v>
      </c>
      <c r="J147" s="81">
        <f ca="1">ABS(PERCENTILE(OFFSET(Calculation!$N$16, ROW()-2, 0, 30, 1), 0.01))*500000</f>
        <v>6644.3876075414437</v>
      </c>
    </row>
    <row r="148" spans="5:10" x14ac:dyDescent="0.2">
      <c r="E148" s="56">
        <f>Calculation!B162</f>
        <v>45968</v>
      </c>
      <c r="F148">
        <f>F149*(1+Calculation!N162)</f>
        <v>522121.64583330159</v>
      </c>
      <c r="G148" s="3">
        <f>Calculation!$C$10</f>
        <v>500000</v>
      </c>
      <c r="H148" s="3"/>
      <c r="I148" s="79">
        <f ca="1">ABS(PERCENTILE(OFFSET(Calculation!$N$16, ROW()-2, 0, 30, 1), 0.05))*500000</f>
        <v>4757.6693182223025</v>
      </c>
      <c r="J148" s="81">
        <f ca="1">ABS(PERCENTILE(OFFSET(Calculation!$N$16, ROW()-2, 0, 30, 1), 0.01))*500000</f>
        <v>6644.3876075414437</v>
      </c>
    </row>
    <row r="149" spans="5:10" x14ac:dyDescent="0.2">
      <c r="E149" s="56">
        <f>Calculation!B163</f>
        <v>45967</v>
      </c>
      <c r="F149">
        <f>F150*(1+Calculation!N163)</f>
        <v>526565.2384013976</v>
      </c>
      <c r="G149" s="3">
        <f>Calculation!$C$10</f>
        <v>500000</v>
      </c>
      <c r="H149" s="3"/>
      <c r="I149" s="79">
        <f ca="1">ABS(PERCENTILE(OFFSET(Calculation!$N$16, ROW()-2, 0, 30, 1), 0.05))*500000</f>
        <v>5850.9245020174103</v>
      </c>
      <c r="J149" s="81">
        <f ca="1">ABS(PERCENTILE(OFFSET(Calculation!$N$16, ROW()-2, 0, 30, 1), 0.01))*500000</f>
        <v>7175.7260812380828</v>
      </c>
    </row>
    <row r="150" spans="5:10" x14ac:dyDescent="0.2">
      <c r="E150" s="56">
        <f>Calculation!B164</f>
        <v>45965</v>
      </c>
      <c r="F150">
        <f>F151*(1+Calculation!N164)</f>
        <v>527438.03000966914</v>
      </c>
      <c r="G150" s="3">
        <f>Calculation!$C$10</f>
        <v>500000</v>
      </c>
      <c r="H150" s="3"/>
      <c r="I150" s="79">
        <f ca="1">ABS(PERCENTILE(OFFSET(Calculation!$N$16, ROW()-2, 0, 30, 1), 0.05))*500000</f>
        <v>5850.9245020174103</v>
      </c>
      <c r="J150" s="81">
        <f ca="1">ABS(PERCENTILE(OFFSET(Calculation!$N$16, ROW()-2, 0, 30, 1), 0.01))*500000</f>
        <v>7175.7260812380828</v>
      </c>
    </row>
    <row r="151" spans="5:10" x14ac:dyDescent="0.2">
      <c r="E151" s="56">
        <f>Calculation!B165</f>
        <v>45964</v>
      </c>
      <c r="F151">
        <f>F152*(1+Calculation!N165)</f>
        <v>526908.078093371</v>
      </c>
      <c r="G151" s="3">
        <f>Calculation!$C$10</f>
        <v>500000</v>
      </c>
      <c r="H151" s="3"/>
      <c r="I151" s="79">
        <f ca="1">ABS(PERCENTILE(OFFSET(Calculation!$N$16, ROW()-2, 0, 30, 1), 0.05))*500000</f>
        <v>5850.9245020174103</v>
      </c>
      <c r="J151" s="81">
        <f ca="1">ABS(PERCENTILE(OFFSET(Calculation!$N$16, ROW()-2, 0, 30, 1), 0.01))*500000</f>
        <v>7175.7260812380828</v>
      </c>
    </row>
    <row r="152" spans="5:10" x14ac:dyDescent="0.2">
      <c r="E152" s="56">
        <f>Calculation!B166</f>
        <v>45961</v>
      </c>
      <c r="F152">
        <f>F153*(1+Calculation!N166)</f>
        <v>525635.67737141787</v>
      </c>
      <c r="G152" s="3">
        <f>Calculation!$C$10</f>
        <v>500000</v>
      </c>
      <c r="H152" s="3"/>
      <c r="I152" s="79">
        <f ca="1">ABS(PERCENTILE(OFFSET(Calculation!$N$16, ROW()-2, 0, 30, 1), 0.05))*500000</f>
        <v>5850.9245020174103</v>
      </c>
      <c r="J152" s="81">
        <f ca="1">ABS(PERCENTILE(OFFSET(Calculation!$N$16, ROW()-2, 0, 30, 1), 0.01))*500000</f>
        <v>7175.7260812380828</v>
      </c>
    </row>
    <row r="153" spans="5:10" x14ac:dyDescent="0.2">
      <c r="E153" s="56">
        <f>Calculation!B167</f>
        <v>45960</v>
      </c>
      <c r="F153">
        <f>F154*(1+Calculation!N167)</f>
        <v>528833.87067232328</v>
      </c>
      <c r="G153" s="3">
        <f>Calculation!$C$10</f>
        <v>500000</v>
      </c>
      <c r="H153" s="3"/>
      <c r="I153" s="79">
        <f ca="1">ABS(PERCENTILE(OFFSET(Calculation!$N$16, ROW()-2, 0, 30, 1), 0.05))*500000</f>
        <v>5850.9245020174103</v>
      </c>
      <c r="J153" s="81">
        <f ca="1">ABS(PERCENTILE(OFFSET(Calculation!$N$16, ROW()-2, 0, 30, 1), 0.01))*500000</f>
        <v>7175.7260812380828</v>
      </c>
    </row>
    <row r="154" spans="5:10" x14ac:dyDescent="0.2">
      <c r="E154" s="56">
        <f>Calculation!B168</f>
        <v>45959</v>
      </c>
      <c r="F154">
        <f>F155*(1+Calculation!N168)</f>
        <v>527474.66418599139</v>
      </c>
      <c r="G154" s="3">
        <f>Calculation!$C$10</f>
        <v>500000</v>
      </c>
      <c r="H154" s="3"/>
      <c r="I154" s="79">
        <f ca="1">ABS(PERCENTILE(OFFSET(Calculation!$N$16, ROW()-2, 0, 30, 1), 0.05))*500000</f>
        <v>5850.9245020174103</v>
      </c>
      <c r="J154" s="81">
        <f ca="1">ABS(PERCENTILE(OFFSET(Calculation!$N$16, ROW()-2, 0, 30, 1), 0.01))*500000</f>
        <v>7175.7260812380828</v>
      </c>
    </row>
    <row r="155" spans="5:10" x14ac:dyDescent="0.2">
      <c r="E155" s="56">
        <f>Calculation!B169</f>
        <v>45958</v>
      </c>
      <c r="F155">
        <f>F156*(1+Calculation!N169)</f>
        <v>527584.9460176283</v>
      </c>
      <c r="G155" s="3">
        <f>Calculation!$C$10</f>
        <v>500000</v>
      </c>
      <c r="H155" s="3"/>
      <c r="I155" s="79">
        <f ca="1">ABS(PERCENTILE(OFFSET(Calculation!$N$16, ROW()-2, 0, 30, 1), 0.05))*500000</f>
        <v>5850.9245020174103</v>
      </c>
      <c r="J155" s="81">
        <f ca="1">ABS(PERCENTILE(OFFSET(Calculation!$N$16, ROW()-2, 0, 30, 1), 0.01))*500000</f>
        <v>7175.7260812380828</v>
      </c>
    </row>
    <row r="156" spans="5:10" x14ac:dyDescent="0.2">
      <c r="E156" s="56">
        <f>Calculation!B170</f>
        <v>45957</v>
      </c>
      <c r="F156">
        <f>F157*(1+Calculation!N170)</f>
        <v>532362.77377394459</v>
      </c>
      <c r="G156" s="3">
        <f>Calculation!$C$10</f>
        <v>500000</v>
      </c>
      <c r="H156" s="3"/>
      <c r="I156" s="79">
        <f ca="1">ABS(PERCENTILE(OFFSET(Calculation!$N$16, ROW()-2, 0, 30, 1), 0.05))*500000</f>
        <v>5850.9245020174103</v>
      </c>
      <c r="J156" s="81">
        <f ca="1">ABS(PERCENTILE(OFFSET(Calculation!$N$16, ROW()-2, 0, 30, 1), 0.01))*500000</f>
        <v>7175.7260812380828</v>
      </c>
    </row>
    <row r="157" spans="5:10" x14ac:dyDescent="0.2">
      <c r="E157" s="56">
        <f>Calculation!B171</f>
        <v>45954</v>
      </c>
      <c r="F157">
        <f>F158*(1+Calculation!N171)</f>
        <v>532268.56203041715</v>
      </c>
      <c r="G157" s="3">
        <f>Calculation!$C$10</f>
        <v>500000</v>
      </c>
      <c r="H157" s="3"/>
      <c r="I157" s="79">
        <f ca="1">ABS(PERCENTILE(OFFSET(Calculation!$N$16, ROW()-2, 0, 30, 1), 0.05))*500000</f>
        <v>5850.9245020174103</v>
      </c>
      <c r="J157" s="81">
        <f ca="1">ABS(PERCENTILE(OFFSET(Calculation!$N$16, ROW()-2, 0, 30, 1), 0.01))*500000</f>
        <v>7175.7260812380828</v>
      </c>
    </row>
    <row r="158" spans="5:10" x14ac:dyDescent="0.2">
      <c r="E158" s="56">
        <f>Calculation!B172</f>
        <v>45953</v>
      </c>
      <c r="F158">
        <f>F159*(1+Calculation!N172)</f>
        <v>534761.49697552808</v>
      </c>
      <c r="G158" s="3">
        <f>Calculation!$C$10</f>
        <v>500000</v>
      </c>
      <c r="H158" s="3"/>
      <c r="I158" s="79">
        <f ca="1">ABS(PERCENTILE(OFFSET(Calculation!$N$16, ROW()-2, 0, 30, 1), 0.05))*500000</f>
        <v>5850.9245020174103</v>
      </c>
      <c r="J158" s="81">
        <f ca="1">ABS(PERCENTILE(OFFSET(Calculation!$N$16, ROW()-2, 0, 30, 1), 0.01))*500000</f>
        <v>7175.7260812380828</v>
      </c>
    </row>
    <row r="159" spans="5:10" x14ac:dyDescent="0.2">
      <c r="E159" s="56">
        <f>Calculation!B173</f>
        <v>45951</v>
      </c>
      <c r="F159">
        <f>F160*(1+Calculation!N173)</f>
        <v>539690.43179684377</v>
      </c>
      <c r="G159" s="3">
        <f>Calculation!$C$10</f>
        <v>500000</v>
      </c>
      <c r="H159" s="3"/>
      <c r="I159" s="79">
        <f ca="1">ABS(PERCENTILE(OFFSET(Calculation!$N$16, ROW()-2, 0, 30, 1), 0.05))*500000</f>
        <v>5850.9245020174103</v>
      </c>
      <c r="J159" s="81">
        <f ca="1">ABS(PERCENTILE(OFFSET(Calculation!$N$16, ROW()-2, 0, 30, 1), 0.01))*500000</f>
        <v>7175.7260812380828</v>
      </c>
    </row>
    <row r="160" spans="5:10" x14ac:dyDescent="0.2">
      <c r="E160" s="56">
        <f>Calculation!B174</f>
        <v>45950</v>
      </c>
      <c r="F160">
        <f>F161*(1+Calculation!N174)</f>
        <v>539485.98146925401</v>
      </c>
      <c r="G160" s="3">
        <f>Calculation!$C$10</f>
        <v>500000</v>
      </c>
      <c r="H160" s="3"/>
      <c r="I160" s="79">
        <f ca="1">ABS(PERCENTILE(OFFSET(Calculation!$N$16, ROW()-2, 0, 30, 1), 0.05))*500000</f>
        <v>5850.9245020174103</v>
      </c>
      <c r="J160" s="81">
        <f ca="1">ABS(PERCENTILE(OFFSET(Calculation!$N$16, ROW()-2, 0, 30, 1), 0.01))*500000</f>
        <v>7175.7260812380828</v>
      </c>
    </row>
    <row r="161" spans="5:10" x14ac:dyDescent="0.2">
      <c r="E161" s="56">
        <f>Calculation!B175</f>
        <v>45947</v>
      </c>
      <c r="F161">
        <f>F162*(1+Calculation!N175)</f>
        <v>540193.89311576227</v>
      </c>
      <c r="G161" s="3">
        <f>Calculation!$C$10</f>
        <v>500000</v>
      </c>
      <c r="H161" s="3"/>
      <c r="I161" s="79">
        <f ca="1">ABS(PERCENTILE(OFFSET(Calculation!$N$16, ROW()-2, 0, 30, 1), 0.05))*500000</f>
        <v>5850.9245020174103</v>
      </c>
      <c r="J161" s="81">
        <f ca="1">ABS(PERCENTILE(OFFSET(Calculation!$N$16, ROW()-2, 0, 30, 1), 0.01))*500000</f>
        <v>7175.7260812380828</v>
      </c>
    </row>
    <row r="162" spans="5:10" x14ac:dyDescent="0.2">
      <c r="E162" s="56">
        <f>Calculation!B176</f>
        <v>45946</v>
      </c>
      <c r="F162">
        <f>F163*(1+Calculation!N176)</f>
        <v>536715.80596680054</v>
      </c>
      <c r="G162" s="3">
        <f>Calculation!$C$10</f>
        <v>500000</v>
      </c>
      <c r="H162" s="3"/>
      <c r="I162" s="79">
        <f ca="1">ABS(PERCENTILE(OFFSET(Calculation!$N$16, ROW()-2, 0, 30, 1), 0.05))*500000</f>
        <v>5850.9245020174103</v>
      </c>
      <c r="J162" s="81">
        <f ca="1">ABS(PERCENTILE(OFFSET(Calculation!$N$16, ROW()-2, 0, 30, 1), 0.01))*500000</f>
        <v>7175.7260812380828</v>
      </c>
    </row>
    <row r="163" spans="5:10" x14ac:dyDescent="0.2">
      <c r="E163" s="56">
        <f>Calculation!B177</f>
        <v>45945</v>
      </c>
      <c r="F163">
        <f>F164*(1+Calculation!N177)</f>
        <v>529205.98035307275</v>
      </c>
      <c r="G163" s="3">
        <f>Calculation!$C$10</f>
        <v>500000</v>
      </c>
      <c r="H163" s="3"/>
      <c r="I163" s="79">
        <f ca="1">ABS(PERCENTILE(OFFSET(Calculation!$N$16, ROW()-2, 0, 30, 1), 0.05))*500000</f>
        <v>5850.9245020174103</v>
      </c>
      <c r="J163" s="81">
        <f ca="1">ABS(PERCENTILE(OFFSET(Calculation!$N$16, ROW()-2, 0, 30, 1), 0.01))*500000</f>
        <v>7175.7260812380828</v>
      </c>
    </row>
    <row r="164" spans="5:10" x14ac:dyDescent="0.2">
      <c r="E164" s="56">
        <f>Calculation!B178</f>
        <v>45944</v>
      </c>
      <c r="F164">
        <f>F165*(1+Calculation!N178)</f>
        <v>521271.23856325628</v>
      </c>
      <c r="G164" s="3">
        <f>Calculation!$C$10</f>
        <v>500000</v>
      </c>
      <c r="H164" s="3"/>
      <c r="I164" s="79">
        <f ca="1">ABS(PERCENTILE(OFFSET(Calculation!$N$16, ROW()-2, 0, 30, 1), 0.05))*500000</f>
        <v>5850.9245020174103</v>
      </c>
      <c r="J164" s="81">
        <f ca="1">ABS(PERCENTILE(OFFSET(Calculation!$N$16, ROW()-2, 0, 30, 1), 0.01))*500000</f>
        <v>7175.7260812380828</v>
      </c>
    </row>
    <row r="165" spans="5:10" x14ac:dyDescent="0.2">
      <c r="E165" s="56">
        <f>Calculation!B179</f>
        <v>45943</v>
      </c>
      <c r="F165">
        <f>F166*(1+Calculation!N179)</f>
        <v>526167.87805670861</v>
      </c>
      <c r="G165" s="3">
        <f>Calculation!$C$10</f>
        <v>500000</v>
      </c>
      <c r="H165" s="3"/>
      <c r="I165" s="79">
        <f ca="1">ABS(PERCENTILE(OFFSET(Calculation!$N$16, ROW()-2, 0, 30, 1), 0.05))*500000</f>
        <v>5850.9245020174103</v>
      </c>
      <c r="J165" s="81">
        <f ca="1">ABS(PERCENTILE(OFFSET(Calculation!$N$16, ROW()-2, 0, 30, 1), 0.01))*500000</f>
        <v>7175.7260812380828</v>
      </c>
    </row>
    <row r="166" spans="5:10" x14ac:dyDescent="0.2">
      <c r="E166" s="56">
        <f>Calculation!B180</f>
        <v>45940</v>
      </c>
      <c r="F166">
        <f>F167*(1+Calculation!N180)</f>
        <v>526910.08415333182</v>
      </c>
      <c r="G166" s="3">
        <f>Calculation!$C$10</f>
        <v>500000</v>
      </c>
      <c r="H166" s="3"/>
      <c r="I166" s="79">
        <f ca="1">ABS(PERCENTILE(OFFSET(Calculation!$N$16, ROW()-2, 0, 30, 1), 0.05))*500000</f>
        <v>5850.9245020174103</v>
      </c>
      <c r="J166" s="81">
        <f ca="1">ABS(PERCENTILE(OFFSET(Calculation!$N$16, ROW()-2, 0, 30, 1), 0.01))*500000</f>
        <v>7175.7260812380828</v>
      </c>
    </row>
    <row r="167" spans="5:10" x14ac:dyDescent="0.2">
      <c r="E167" s="56">
        <f>Calculation!B181</f>
        <v>45939</v>
      </c>
      <c r="F167">
        <f>F168*(1+Calculation!N181)</f>
        <v>519036.71986440022</v>
      </c>
      <c r="G167" s="3">
        <f>Calculation!$C$10</f>
        <v>500000</v>
      </c>
      <c r="H167" s="3"/>
      <c r="I167" s="79">
        <f ca="1">ABS(PERCENTILE(OFFSET(Calculation!$N$16, ROW()-2, 0, 30, 1), 0.05))*500000</f>
        <v>5850.9245020174103</v>
      </c>
      <c r="J167" s="81">
        <f ca="1">ABS(PERCENTILE(OFFSET(Calculation!$N$16, ROW()-2, 0, 30, 1), 0.01))*500000</f>
        <v>7175.7260812380828</v>
      </c>
    </row>
    <row r="168" spans="5:10" x14ac:dyDescent="0.2">
      <c r="E168" s="56">
        <f>Calculation!B182</f>
        <v>45938</v>
      </c>
      <c r="F168">
        <f>F169*(1+Calculation!N182)</f>
        <v>514930.54442418681</v>
      </c>
      <c r="G168" s="3">
        <f>Calculation!$C$10</f>
        <v>500000</v>
      </c>
      <c r="H168" s="3"/>
      <c r="I168" s="79">
        <f ca="1">ABS(PERCENTILE(OFFSET(Calculation!$N$16, ROW()-2, 0, 30, 1), 0.05))*500000</f>
        <v>5850.9245020174103</v>
      </c>
      <c r="J168" s="81">
        <f ca="1">ABS(PERCENTILE(OFFSET(Calculation!$N$16, ROW()-2, 0, 30, 1), 0.01))*500000</f>
        <v>7175.7260812380828</v>
      </c>
    </row>
    <row r="169" spans="5:10" x14ac:dyDescent="0.2">
      <c r="E169" s="56">
        <f>Calculation!B183</f>
        <v>45937</v>
      </c>
      <c r="F169">
        <f>F170*(1+Calculation!N183)</f>
        <v>515648.67546003981</v>
      </c>
      <c r="G169" s="3">
        <f>Calculation!$C$10</f>
        <v>500000</v>
      </c>
      <c r="H169" s="3"/>
      <c r="I169" s="79">
        <f ca="1">ABS(PERCENTILE(OFFSET(Calculation!$N$16, ROW()-2, 0, 30, 1), 0.05))*500000</f>
        <v>5850.9245020174103</v>
      </c>
      <c r="J169" s="81">
        <f ca="1">ABS(PERCENTILE(OFFSET(Calculation!$N$16, ROW()-2, 0, 30, 1), 0.01))*500000</f>
        <v>7175.7260812380828</v>
      </c>
    </row>
    <row r="170" spans="5:10" x14ac:dyDescent="0.2">
      <c r="E170" s="56">
        <f>Calculation!B184</f>
        <v>45936</v>
      </c>
      <c r="F170">
        <f>F171*(1+Calculation!N184)</f>
        <v>511600.57073338307</v>
      </c>
      <c r="G170" s="3">
        <f>Calculation!$C$10</f>
        <v>500000</v>
      </c>
      <c r="H170" s="3"/>
      <c r="I170" s="79">
        <f ca="1">ABS(PERCENTILE(OFFSET(Calculation!$N$16, ROW()-2, 0, 30, 1), 0.05))*500000</f>
        <v>5850.9245020174103</v>
      </c>
      <c r="J170" s="81">
        <f ca="1">ABS(PERCENTILE(OFFSET(Calculation!$N$16, ROW()-2, 0, 30, 1), 0.01))*500000</f>
        <v>7175.7260812380828</v>
      </c>
    </row>
    <row r="171" spans="5:10" x14ac:dyDescent="0.2">
      <c r="E171" s="56">
        <f>Calculation!B185</f>
        <v>45933</v>
      </c>
      <c r="F171">
        <f>F172*(1+Calculation!N185)</f>
        <v>510423.50928235718</v>
      </c>
      <c r="G171" s="3">
        <f>Calculation!$C$10</f>
        <v>500000</v>
      </c>
      <c r="H171" s="3"/>
      <c r="I171" s="79">
        <f ca="1">ABS(PERCENTILE(OFFSET(Calculation!$N$16, ROW()-2, 0, 30, 1), 0.05))*500000</f>
        <v>5850.9245020174103</v>
      </c>
      <c r="J171" s="81">
        <f ca="1">ABS(PERCENTILE(OFFSET(Calculation!$N$16, ROW()-2, 0, 30, 1), 0.01))*500000</f>
        <v>7175.7260812380828</v>
      </c>
    </row>
    <row r="172" spans="5:10" x14ac:dyDescent="0.2">
      <c r="E172" s="56">
        <f>Calculation!B186</f>
        <v>45931</v>
      </c>
      <c r="F172">
        <f>F173*(1+Calculation!N186)</f>
        <v>506352.9750502216</v>
      </c>
      <c r="G172" s="3">
        <f>Calculation!$C$10</f>
        <v>500000</v>
      </c>
      <c r="H172" s="3"/>
      <c r="I172" s="79">
        <f ca="1">ABS(PERCENTILE(OFFSET(Calculation!$N$16, ROW()-2, 0, 30, 1), 0.05))*500000</f>
        <v>5850.9245020174103</v>
      </c>
      <c r="J172" s="81">
        <f ca="1">ABS(PERCENTILE(OFFSET(Calculation!$N$16, ROW()-2, 0, 30, 1), 0.01))*500000</f>
        <v>7175.7260812380828</v>
      </c>
    </row>
    <row r="173" spans="5:10" x14ac:dyDescent="0.2">
      <c r="E173" s="56">
        <f>Calculation!B187</f>
        <v>45930</v>
      </c>
      <c r="F173">
        <f>F174*(1+Calculation!N187)</f>
        <v>504967.93543380778</v>
      </c>
      <c r="G173" s="3">
        <f>Calculation!$C$10</f>
        <v>500000</v>
      </c>
      <c r="H173" s="3"/>
      <c r="I173" s="79">
        <f ca="1">ABS(PERCENTILE(OFFSET(Calculation!$N$16, ROW()-2, 0, 30, 1), 0.05))*500000</f>
        <v>5850.9245020174103</v>
      </c>
      <c r="J173" s="81">
        <f ca="1">ABS(PERCENTILE(OFFSET(Calculation!$N$16, ROW()-2, 0, 30, 1), 0.01))*500000</f>
        <v>7175.7260812380828</v>
      </c>
    </row>
    <row r="174" spans="5:10" x14ac:dyDescent="0.2">
      <c r="E174" s="56">
        <f>Calculation!B188</f>
        <v>45929</v>
      </c>
      <c r="F174">
        <f>F175*(1+Calculation!N188)</f>
        <v>503891.36982546636</v>
      </c>
      <c r="G174" s="3">
        <f>Calculation!$C$10</f>
        <v>500000</v>
      </c>
      <c r="H174" s="3"/>
      <c r="I174" s="79">
        <f ca="1">ABS(PERCENTILE(OFFSET(Calculation!$N$16, ROW()-2, 0, 30, 1), 0.05))*500000</f>
        <v>5850.9245020174103</v>
      </c>
      <c r="J174" s="81">
        <f ca="1">ABS(PERCENTILE(OFFSET(Calculation!$N$16, ROW()-2, 0, 30, 1), 0.01))*500000</f>
        <v>7175.7260812380828</v>
      </c>
    </row>
    <row r="175" spans="5:10" x14ac:dyDescent="0.2">
      <c r="E175" s="56">
        <f>Calculation!B189</f>
        <v>45926</v>
      </c>
      <c r="F175">
        <f>F176*(1+Calculation!N189)</f>
        <v>504957.74976629642</v>
      </c>
      <c r="G175" s="3">
        <f>Calculation!$C$10</f>
        <v>500000</v>
      </c>
      <c r="H175" s="3"/>
      <c r="I175" s="79">
        <f ca="1">ABS(PERCENTILE(OFFSET(Calculation!$N$16, ROW()-2, 0, 30, 1), 0.05))*500000</f>
        <v>5850.9245020174103</v>
      </c>
      <c r="J175" s="81">
        <f ca="1">ABS(PERCENTILE(OFFSET(Calculation!$N$16, ROW()-2, 0, 30, 1), 0.01))*500000</f>
        <v>7175.7260812380828</v>
      </c>
    </row>
    <row r="176" spans="5:10" x14ac:dyDescent="0.2">
      <c r="E176" s="56">
        <f>Calculation!B190</f>
        <v>45925</v>
      </c>
      <c r="F176">
        <f>F177*(1+Calculation!N190)</f>
        <v>512522.66465802194</v>
      </c>
      <c r="G176" s="3">
        <f>Calculation!$C$10</f>
        <v>500000</v>
      </c>
      <c r="H176" s="3"/>
      <c r="I176" s="79">
        <f ca="1">ABS(PERCENTILE(OFFSET(Calculation!$N$16, ROW()-2, 0, 30, 1), 0.05))*500000</f>
        <v>4365.1144517969606</v>
      </c>
      <c r="J176" s="81">
        <f ca="1">ABS(PERCENTILE(OFFSET(Calculation!$N$16, ROW()-2, 0, 30, 1), 0.01))*500000</f>
        <v>6144.0767633672804</v>
      </c>
    </row>
    <row r="177" spans="5:10" x14ac:dyDescent="0.2">
      <c r="E177" s="56">
        <f>Calculation!B191</f>
        <v>45924</v>
      </c>
      <c r="F177">
        <f>F178*(1+Calculation!N191)</f>
        <v>517535.736900663</v>
      </c>
      <c r="G177" s="3">
        <f>Calculation!$C$10</f>
        <v>500000</v>
      </c>
      <c r="H177" s="3"/>
      <c r="I177" s="79">
        <f ca="1">ABS(PERCENTILE(OFFSET(Calculation!$N$16, ROW()-2, 0, 30, 1), 0.05))*500000</f>
        <v>3482.6916884717307</v>
      </c>
      <c r="J177" s="81">
        <f ca="1">ABS(PERCENTILE(OFFSET(Calculation!$N$16, ROW()-2, 0, 30, 1), 0.01))*500000</f>
        <v>5835.9684210766582</v>
      </c>
    </row>
    <row r="178" spans="5:10" x14ac:dyDescent="0.2">
      <c r="E178" s="56">
        <f>Calculation!B192</f>
        <v>45923</v>
      </c>
      <c r="F178">
        <f>F179*(1+Calculation!N192)</f>
        <v>518918.28650697134</v>
      </c>
      <c r="G178" s="3">
        <f>Calculation!$C$10</f>
        <v>500000</v>
      </c>
      <c r="H178" s="3"/>
      <c r="I178" s="79">
        <f ca="1">ABS(PERCENTILE(OFFSET(Calculation!$N$16, ROW()-2, 0, 30, 1), 0.05))*500000</f>
        <v>3482.6916884717307</v>
      </c>
      <c r="J178" s="81">
        <f ca="1">ABS(PERCENTILE(OFFSET(Calculation!$N$16, ROW()-2, 0, 30, 1), 0.01))*500000</f>
        <v>5835.9684210766582</v>
      </c>
    </row>
    <row r="179" spans="5:10" x14ac:dyDescent="0.2">
      <c r="E179" s="56">
        <f>Calculation!B193</f>
        <v>45922</v>
      </c>
      <c r="F179">
        <f>F180*(1+Calculation!N193)</f>
        <v>525940.02258810413</v>
      </c>
      <c r="G179" s="3">
        <f>Calculation!$C$10</f>
        <v>500000</v>
      </c>
      <c r="H179" s="3"/>
      <c r="I179" s="79">
        <f ca="1">ABS(PERCENTILE(OFFSET(Calculation!$N$16, ROW()-2, 0, 30, 1), 0.05))*500000</f>
        <v>3482.6916884717307</v>
      </c>
      <c r="J179" s="81">
        <f ca="1">ABS(PERCENTILE(OFFSET(Calculation!$N$16, ROW()-2, 0, 30, 1), 0.01))*500000</f>
        <v>5461.7660879491168</v>
      </c>
    </row>
    <row r="180" spans="5:10" x14ac:dyDescent="0.2">
      <c r="E180" s="56">
        <f>Calculation!B194</f>
        <v>45919</v>
      </c>
      <c r="F180">
        <f>F181*(1+Calculation!N194)</f>
        <v>528222.19815069006</v>
      </c>
      <c r="G180" s="3">
        <f>Calculation!$C$10</f>
        <v>500000</v>
      </c>
      <c r="H180" s="3"/>
      <c r="I180" s="79">
        <f ca="1">ABS(PERCENTILE(OFFSET(Calculation!$N$16, ROW()-2, 0, 30, 1), 0.05))*500000</f>
        <v>3482.6916884717307</v>
      </c>
      <c r="J180" s="81">
        <f ca="1">ABS(PERCENTILE(OFFSET(Calculation!$N$16, ROW()-2, 0, 30, 1), 0.01))*500000</f>
        <v>5461.7660879491168</v>
      </c>
    </row>
    <row r="181" spans="5:10" x14ac:dyDescent="0.2">
      <c r="E181" s="56">
        <f>Calculation!B195</f>
        <v>45918</v>
      </c>
      <c r="F181">
        <f>F182*(1+Calculation!N195)</f>
        <v>529288.56148124312</v>
      </c>
      <c r="G181" s="3">
        <f>Calculation!$C$10</f>
        <v>500000</v>
      </c>
      <c r="H181" s="3"/>
      <c r="I181" s="79">
        <f ca="1">ABS(PERCENTILE(OFFSET(Calculation!$N$16, ROW()-2, 0, 30, 1), 0.05))*500000</f>
        <v>5082.9503033981946</v>
      </c>
      <c r="J181" s="81">
        <f ca="1">ABS(PERCENTILE(OFFSET(Calculation!$N$16, ROW()-2, 0, 30, 1), 0.01))*500000</f>
        <v>9512.8184500243788</v>
      </c>
    </row>
    <row r="182" spans="5:10" x14ac:dyDescent="0.2">
      <c r="E182" s="56">
        <f>Calculation!B196</f>
        <v>45917</v>
      </c>
      <c r="F182">
        <f>F183*(1+Calculation!N196)</f>
        <v>528745.10868443979</v>
      </c>
      <c r="G182" s="3">
        <f>Calculation!$C$10</f>
        <v>500000</v>
      </c>
      <c r="H182" s="3"/>
      <c r="I182" s="79">
        <f ca="1">ABS(PERCENTILE(OFFSET(Calculation!$N$16, ROW()-2, 0, 30, 1), 0.05))*500000</f>
        <v>5082.9503033981946</v>
      </c>
      <c r="J182" s="81">
        <f ca="1">ABS(PERCENTILE(OFFSET(Calculation!$N$16, ROW()-2, 0, 30, 1), 0.01))*500000</f>
        <v>9512.8184500243788</v>
      </c>
    </row>
    <row r="183" spans="5:10" x14ac:dyDescent="0.2">
      <c r="E183" s="56">
        <f>Calculation!B197</f>
        <v>45916</v>
      </c>
      <c r="F183">
        <f>F184*(1+Calculation!N197)</f>
        <v>528982.21011784591</v>
      </c>
      <c r="G183" s="3">
        <f>Calculation!$C$10</f>
        <v>500000</v>
      </c>
      <c r="H183" s="3"/>
      <c r="I183" s="79">
        <f ca="1">ABS(PERCENTILE(OFFSET(Calculation!$N$16, ROW()-2, 0, 30, 1), 0.05))*500000</f>
        <v>5082.9503033981946</v>
      </c>
      <c r="J183" s="81">
        <f ca="1">ABS(PERCENTILE(OFFSET(Calculation!$N$16, ROW()-2, 0, 30, 1), 0.01))*500000</f>
        <v>9512.8184500243788</v>
      </c>
    </row>
    <row r="184" spans="5:10" x14ac:dyDescent="0.2">
      <c r="E184" s="56">
        <f>Calculation!B198</f>
        <v>45915</v>
      </c>
      <c r="F184">
        <f>F185*(1+Calculation!N198)</f>
        <v>526355.12447877147</v>
      </c>
      <c r="G184" s="3">
        <f>Calculation!$C$10</f>
        <v>500000</v>
      </c>
      <c r="H184" s="3"/>
      <c r="I184" s="79">
        <f ca="1">ABS(PERCENTILE(OFFSET(Calculation!$N$16, ROW()-2, 0, 30, 1), 0.05))*500000</f>
        <v>5161.2618243066763</v>
      </c>
      <c r="J184" s="81">
        <f ca="1">ABS(PERCENTILE(OFFSET(Calculation!$N$16, ROW()-2, 0, 30, 1), 0.01))*500000</f>
        <v>9512.8184500243788</v>
      </c>
    </row>
    <row r="185" spans="5:10" x14ac:dyDescent="0.2">
      <c r="E185" s="56">
        <f>Calculation!B199</f>
        <v>45912</v>
      </c>
      <c r="F185">
        <f>F186*(1+Calculation!N199)</f>
        <v>527315.11046254961</v>
      </c>
      <c r="G185" s="3">
        <f>Calculation!$C$10</f>
        <v>500000</v>
      </c>
      <c r="H185" s="3"/>
      <c r="I185" s="79">
        <f ca="1">ABS(PERCENTILE(OFFSET(Calculation!$N$16, ROW()-2, 0, 30, 1), 0.05))*500000</f>
        <v>5161.2618243066763</v>
      </c>
      <c r="J185" s="81">
        <f ca="1">ABS(PERCENTILE(OFFSET(Calculation!$N$16, ROW()-2, 0, 30, 1), 0.01))*500000</f>
        <v>9512.8184500243788</v>
      </c>
    </row>
    <row r="186" spans="5:10" x14ac:dyDescent="0.2">
      <c r="E186" s="56">
        <f>Calculation!B200</f>
        <v>45911</v>
      </c>
      <c r="F186">
        <f>F187*(1+Calculation!N200)</f>
        <v>529603.79992535315</v>
      </c>
      <c r="G186" s="3">
        <f>Calculation!$C$10</f>
        <v>500000</v>
      </c>
      <c r="H186" s="3"/>
      <c r="I186" s="79">
        <f ca="1">ABS(PERCENTILE(OFFSET(Calculation!$N$16, ROW()-2, 0, 30, 1), 0.05))*500000</f>
        <v>5161.2618243066763</v>
      </c>
      <c r="J186" s="81">
        <f ca="1">ABS(PERCENTILE(OFFSET(Calculation!$N$16, ROW()-2, 0, 30, 1), 0.01))*500000</f>
        <v>9512.8184500243788</v>
      </c>
    </row>
    <row r="187" spans="5:10" x14ac:dyDescent="0.2">
      <c r="E187" s="56">
        <f>Calculation!B201</f>
        <v>45910</v>
      </c>
      <c r="F187">
        <f>F188*(1+Calculation!N201)</f>
        <v>530940.18457166268</v>
      </c>
      <c r="G187" s="3">
        <f>Calculation!$C$10</f>
        <v>500000</v>
      </c>
      <c r="H187" s="3"/>
      <c r="I187" s="79">
        <f ca="1">ABS(PERCENTILE(OFFSET(Calculation!$N$16, ROW()-2, 0, 30, 1), 0.05))*500000</f>
        <v>5161.2618243066763</v>
      </c>
      <c r="J187" s="81">
        <f ca="1">ABS(PERCENTILE(OFFSET(Calculation!$N$16, ROW()-2, 0, 30, 1), 0.01))*500000</f>
        <v>9512.8184500243788</v>
      </c>
    </row>
    <row r="188" spans="5:10" x14ac:dyDescent="0.2">
      <c r="E188" s="56">
        <f>Calculation!B202</f>
        <v>45909</v>
      </c>
      <c r="F188">
        <f>F189*(1+Calculation!N202)</f>
        <v>532186.87281797733</v>
      </c>
      <c r="G188" s="3">
        <f>Calculation!$C$10</f>
        <v>500000</v>
      </c>
      <c r="H188" s="3"/>
      <c r="I188" s="79">
        <f ca="1">ABS(PERCENTILE(OFFSET(Calculation!$N$16, ROW()-2, 0, 30, 1), 0.05))*500000</f>
        <v>5161.2618243066763</v>
      </c>
      <c r="J188" s="81">
        <f ca="1">ABS(PERCENTILE(OFFSET(Calculation!$N$16, ROW()-2, 0, 30, 1), 0.01))*500000</f>
        <v>9512.8184500243788</v>
      </c>
    </row>
    <row r="189" spans="5:10" x14ac:dyDescent="0.2">
      <c r="E189" s="56">
        <f>Calculation!B203</f>
        <v>45908</v>
      </c>
      <c r="F189">
        <f>F190*(1+Calculation!N203)</f>
        <v>531975.39037541498</v>
      </c>
      <c r="G189" s="3">
        <f>Calculation!$C$10</f>
        <v>500000</v>
      </c>
      <c r="H189" s="3"/>
      <c r="I189" s="79">
        <f ca="1">ABS(PERCENTILE(OFFSET(Calculation!$N$16, ROW()-2, 0, 30, 1), 0.05))*500000</f>
        <v>5161.2618243066763</v>
      </c>
      <c r="J189" s="81">
        <f ca="1">ABS(PERCENTILE(OFFSET(Calculation!$N$16, ROW()-2, 0, 30, 1), 0.01))*500000</f>
        <v>9512.8184500243788</v>
      </c>
    </row>
    <row r="190" spans="5:10" x14ac:dyDescent="0.2">
      <c r="E190" s="56">
        <f>Calculation!B204</f>
        <v>45905</v>
      </c>
      <c r="F190">
        <f>F191*(1+Calculation!N204)</f>
        <v>531541.4540307495</v>
      </c>
      <c r="G190" s="3">
        <f>Calculation!$C$10</f>
        <v>500000</v>
      </c>
      <c r="H190" s="3"/>
      <c r="I190" s="79">
        <f ca="1">ABS(PERCENTILE(OFFSET(Calculation!$N$16, ROW()-2, 0, 30, 1), 0.05))*500000</f>
        <v>6747.6162047860353</v>
      </c>
      <c r="J190" s="81">
        <f ca="1">ABS(PERCENTILE(OFFSET(Calculation!$N$16, ROW()-2, 0, 30, 1), 0.01))*500000</f>
        <v>9828.7847902573394</v>
      </c>
    </row>
    <row r="191" spans="5:10" x14ac:dyDescent="0.2">
      <c r="E191" s="56">
        <f>Calculation!B205</f>
        <v>45904</v>
      </c>
      <c r="F191">
        <f>F192*(1+Calculation!N205)</f>
        <v>534877.34762867657</v>
      </c>
      <c r="G191" s="3">
        <f>Calculation!$C$10</f>
        <v>500000</v>
      </c>
      <c r="H191" s="3"/>
      <c r="I191" s="79">
        <f ca="1">ABS(PERCENTILE(OFFSET(Calculation!$N$16, ROW()-2, 0, 30, 1), 0.05))*500000</f>
        <v>6747.6162047860353</v>
      </c>
      <c r="J191" s="81">
        <f ca="1">ABS(PERCENTILE(OFFSET(Calculation!$N$16, ROW()-2, 0, 30, 1), 0.01))*500000</f>
        <v>9828.7847902573394</v>
      </c>
    </row>
    <row r="192" spans="5:10" x14ac:dyDescent="0.2">
      <c r="E192" s="56">
        <f>Calculation!B206</f>
        <v>45903</v>
      </c>
      <c r="F192">
        <f>F193*(1+Calculation!N206)</f>
        <v>535172.47870292189</v>
      </c>
      <c r="G192" s="3">
        <f>Calculation!$C$10</f>
        <v>500000</v>
      </c>
      <c r="H192" s="3"/>
      <c r="I192" s="79">
        <f ca="1">ABS(PERCENTILE(OFFSET(Calculation!$N$16, ROW()-2, 0, 30, 1), 0.05))*500000</f>
        <v>6747.6162047860353</v>
      </c>
      <c r="J192" s="81">
        <f ca="1">ABS(PERCENTILE(OFFSET(Calculation!$N$16, ROW()-2, 0, 30, 1), 0.01))*500000</f>
        <v>9828.7847902573394</v>
      </c>
    </row>
    <row r="193" spans="5:10" x14ac:dyDescent="0.2">
      <c r="E193" s="56">
        <f>Calculation!B207</f>
        <v>45902</v>
      </c>
      <c r="F193">
        <f>F194*(1+Calculation!N207)</f>
        <v>535900.33234251966</v>
      </c>
      <c r="G193" s="3">
        <f>Calculation!$C$10</f>
        <v>500000</v>
      </c>
      <c r="H193" s="3"/>
      <c r="I193" s="79">
        <f ca="1">ABS(PERCENTILE(OFFSET(Calculation!$N$16, ROW()-2, 0, 30, 1), 0.05))*500000</f>
        <v>6747.6162047860353</v>
      </c>
      <c r="J193" s="81">
        <f ca="1">ABS(PERCENTILE(OFFSET(Calculation!$N$16, ROW()-2, 0, 30, 1), 0.01))*500000</f>
        <v>9828.7847902573394</v>
      </c>
    </row>
    <row r="194" spans="5:10" x14ac:dyDescent="0.2">
      <c r="E194" s="56">
        <f>Calculation!B208</f>
        <v>45901</v>
      </c>
      <c r="F194">
        <f>F195*(1+Calculation!N208)</f>
        <v>532428.8893863291</v>
      </c>
      <c r="G194" s="3">
        <f>Calculation!$C$10</f>
        <v>500000</v>
      </c>
      <c r="H194" s="3"/>
      <c r="I194" s="79">
        <f ca="1">ABS(PERCENTILE(OFFSET(Calculation!$N$16, ROW()-2, 0, 30, 1), 0.05))*500000</f>
        <v>6747.6162047860353</v>
      </c>
      <c r="J194" s="81">
        <f ca="1">ABS(PERCENTILE(OFFSET(Calculation!$N$16, ROW()-2, 0, 30, 1), 0.01))*500000</f>
        <v>9828.7847902573394</v>
      </c>
    </row>
    <row r="195" spans="5:10" x14ac:dyDescent="0.2">
      <c r="E195" s="56">
        <f>Calculation!B209</f>
        <v>45898</v>
      </c>
      <c r="F195">
        <f>F196*(1+Calculation!N209)</f>
        <v>525309.56322023703</v>
      </c>
      <c r="G195" s="3">
        <f>Calculation!$C$10</f>
        <v>500000</v>
      </c>
      <c r="H195" s="3"/>
      <c r="I195" s="79">
        <f ca="1">ABS(PERCENTILE(OFFSET(Calculation!$N$16, ROW()-2, 0, 30, 1), 0.05))*500000</f>
        <v>6747.6162047860353</v>
      </c>
      <c r="J195" s="81">
        <f ca="1">ABS(PERCENTILE(OFFSET(Calculation!$N$16, ROW()-2, 0, 30, 1), 0.01))*500000</f>
        <v>9828.7847902573394</v>
      </c>
    </row>
    <row r="196" spans="5:10" x14ac:dyDescent="0.2">
      <c r="E196" s="56">
        <f>Calculation!B210</f>
        <v>45897</v>
      </c>
      <c r="F196">
        <f>F197*(1+Calculation!N210)</f>
        <v>523265.2045127757</v>
      </c>
      <c r="G196" s="3">
        <f>Calculation!$C$10</f>
        <v>500000</v>
      </c>
      <c r="H196" s="3"/>
      <c r="I196" s="79">
        <f ca="1">ABS(PERCENTILE(OFFSET(Calculation!$N$16, ROW()-2, 0, 30, 1), 0.05))*500000</f>
        <v>6747.6162047860353</v>
      </c>
      <c r="J196" s="81">
        <f ca="1">ABS(PERCENTILE(OFFSET(Calculation!$N$16, ROW()-2, 0, 30, 1), 0.01))*500000</f>
        <v>9828.7847902573394</v>
      </c>
    </row>
    <row r="197" spans="5:10" x14ac:dyDescent="0.2">
      <c r="E197" s="56">
        <f>Calculation!B211</f>
        <v>45895</v>
      </c>
      <c r="F197">
        <f>F198*(1+Calculation!N211)</f>
        <v>527252.04302711389</v>
      </c>
      <c r="G197" s="3">
        <f>Calculation!$C$10</f>
        <v>500000</v>
      </c>
      <c r="H197" s="3"/>
      <c r="I197" s="79">
        <f ca="1">ABS(PERCENTILE(OFFSET(Calculation!$N$16, ROW()-2, 0, 30, 1), 0.05))*500000</f>
        <v>6747.6162047860353</v>
      </c>
      <c r="J197" s="81">
        <f ca="1">ABS(PERCENTILE(OFFSET(Calculation!$N$16, ROW()-2, 0, 30, 1), 0.01))*500000</f>
        <v>9828.7847902573394</v>
      </c>
    </row>
    <row r="198" spans="5:10" x14ac:dyDescent="0.2">
      <c r="E198" s="56">
        <f>Calculation!B212</f>
        <v>45894</v>
      </c>
      <c r="F198">
        <f>F199*(1+Calculation!N212)</f>
        <v>526324.91933195968</v>
      </c>
      <c r="G198" s="3">
        <f>Calculation!$C$10</f>
        <v>500000</v>
      </c>
      <c r="H198" s="3"/>
      <c r="I198" s="79">
        <f ca="1">ABS(PERCENTILE(OFFSET(Calculation!$N$16, ROW()-2, 0, 30, 1), 0.05))*500000</f>
        <v>6747.6162047860353</v>
      </c>
      <c r="J198" s="81">
        <f ca="1">ABS(PERCENTILE(OFFSET(Calculation!$N$16, ROW()-2, 0, 30, 1), 0.01))*500000</f>
        <v>9828.7847902573394</v>
      </c>
    </row>
    <row r="199" spans="5:10" x14ac:dyDescent="0.2">
      <c r="E199" s="56">
        <f>Calculation!B213</f>
        <v>45891</v>
      </c>
      <c r="F199">
        <f>F200*(1+Calculation!N213)</f>
        <v>525291.58033712069</v>
      </c>
      <c r="G199" s="3">
        <f>Calculation!$C$10</f>
        <v>500000</v>
      </c>
      <c r="H199" s="3"/>
      <c r="I199" s="79">
        <f ca="1">ABS(PERCENTILE(OFFSET(Calculation!$N$16, ROW()-2, 0, 30, 1), 0.05))*500000</f>
        <v>6747.6162047860353</v>
      </c>
      <c r="J199" s="81">
        <f ca="1">ABS(PERCENTILE(OFFSET(Calculation!$N$16, ROW()-2, 0, 30, 1), 0.01))*500000</f>
        <v>9828.7847902573394</v>
      </c>
    </row>
    <row r="200" spans="5:10" x14ac:dyDescent="0.2">
      <c r="E200" s="56">
        <f>Calculation!B214</f>
        <v>45890</v>
      </c>
      <c r="F200">
        <f>F201*(1+Calculation!N214)</f>
        <v>527259.75765335653</v>
      </c>
      <c r="G200" s="3">
        <f>Calculation!$C$10</f>
        <v>500000</v>
      </c>
      <c r="H200" s="3"/>
      <c r="I200" s="79">
        <f ca="1">ABS(PERCENTILE(OFFSET(Calculation!$N$16, ROW()-2, 0, 30, 1), 0.05))*500000</f>
        <v>6747.6162047860353</v>
      </c>
      <c r="J200" s="81">
        <f ca="1">ABS(PERCENTILE(OFFSET(Calculation!$N$16, ROW()-2, 0, 30, 1), 0.01))*500000</f>
        <v>9828.7847902573394</v>
      </c>
    </row>
    <row r="201" spans="5:10" x14ac:dyDescent="0.2">
      <c r="E201" s="56">
        <f>Calculation!B215</f>
        <v>45889</v>
      </c>
      <c r="F201">
        <f>F202*(1+Calculation!N215)</f>
        <v>529190.71246269415</v>
      </c>
      <c r="G201" s="3">
        <f>Calculation!$C$10</f>
        <v>500000</v>
      </c>
      <c r="H201" s="3"/>
      <c r="I201" s="79">
        <f ca="1">ABS(PERCENTILE(OFFSET(Calculation!$N$16, ROW()-2, 0, 30, 1), 0.05))*500000</f>
        <v>6747.6162047860353</v>
      </c>
      <c r="J201" s="81">
        <f ca="1">ABS(PERCENTILE(OFFSET(Calculation!$N$16, ROW()-2, 0, 30, 1), 0.01))*500000</f>
        <v>9828.7847902573394</v>
      </c>
    </row>
    <row r="202" spans="5:10" x14ac:dyDescent="0.2">
      <c r="E202" s="56">
        <f>Calculation!B216</f>
        <v>45888</v>
      </c>
      <c r="F202">
        <f>F203*(1+Calculation!N216)</f>
        <v>527934.860922163</v>
      </c>
      <c r="G202" s="3">
        <f>Calculation!$C$10</f>
        <v>500000</v>
      </c>
      <c r="H202" s="3"/>
      <c r="I202" s="79">
        <f ca="1">ABS(PERCENTILE(OFFSET(Calculation!$N$16, ROW()-2, 0, 30, 1), 0.05))*500000</f>
        <v>6747.6162047860353</v>
      </c>
      <c r="J202" s="81">
        <f ca="1">ABS(PERCENTILE(OFFSET(Calculation!$N$16, ROW()-2, 0, 30, 1), 0.01))*500000</f>
        <v>9828.7847902573394</v>
      </c>
    </row>
    <row r="203" spans="5:10" x14ac:dyDescent="0.2">
      <c r="E203" s="56">
        <f>Calculation!B217</f>
        <v>45887</v>
      </c>
      <c r="F203">
        <f>F204*(1+Calculation!N217)</f>
        <v>525058.28977283149</v>
      </c>
      <c r="G203" s="3">
        <f>Calculation!$C$10</f>
        <v>500000</v>
      </c>
      <c r="H203" s="3"/>
      <c r="I203" s="79">
        <f ca="1">ABS(PERCENTILE(OFFSET(Calculation!$N$16, ROW()-2, 0, 30, 1), 0.05))*500000</f>
        <v>6747.6162047860353</v>
      </c>
      <c r="J203" s="81">
        <f ca="1">ABS(PERCENTILE(OFFSET(Calculation!$N$16, ROW()-2, 0, 30, 1), 0.01))*500000</f>
        <v>9828.7847902573394</v>
      </c>
    </row>
    <row r="204" spans="5:10" x14ac:dyDescent="0.2">
      <c r="E204" s="56">
        <f>Calculation!B218</f>
        <v>45883</v>
      </c>
      <c r="F204">
        <f>F205*(1+Calculation!N218)</f>
        <v>514176.61636317562</v>
      </c>
      <c r="G204" s="3">
        <f>Calculation!$C$10</f>
        <v>500000</v>
      </c>
      <c r="H204" s="3"/>
      <c r="I204" s="79">
        <f ca="1">ABS(PERCENTILE(OFFSET(Calculation!$N$16, ROW()-2, 0, 30, 1), 0.05))*500000</f>
        <v>6747.6162047860353</v>
      </c>
      <c r="J204" s="81">
        <f ca="1">ABS(PERCENTILE(OFFSET(Calculation!$N$16, ROW()-2, 0, 30, 1), 0.01))*500000</f>
        <v>9828.7847902573394</v>
      </c>
    </row>
    <row r="205" spans="5:10" x14ac:dyDescent="0.2">
      <c r="E205" s="56">
        <f>Calculation!B219</f>
        <v>45882</v>
      </c>
      <c r="F205">
        <f>F206*(1+Calculation!N219)</f>
        <v>514382.21666024637</v>
      </c>
      <c r="G205" s="3">
        <f>Calculation!$C$10</f>
        <v>500000</v>
      </c>
      <c r="H205" s="3"/>
      <c r="I205" s="79">
        <f ca="1">ABS(PERCENTILE(OFFSET(Calculation!$N$16, ROW()-2, 0, 30, 1), 0.05))*500000</f>
        <v>6747.6162047860353</v>
      </c>
      <c r="J205" s="81">
        <f ca="1">ABS(PERCENTILE(OFFSET(Calculation!$N$16, ROW()-2, 0, 30, 1), 0.01))*500000</f>
        <v>9828.7847902573394</v>
      </c>
    </row>
    <row r="206" spans="5:10" x14ac:dyDescent="0.2">
      <c r="E206" s="56">
        <f>Calculation!B220</f>
        <v>45881</v>
      </c>
      <c r="F206">
        <f>F207*(1+Calculation!N220)</f>
        <v>513152.68097807793</v>
      </c>
      <c r="G206" s="3">
        <f>Calculation!$C$10</f>
        <v>500000</v>
      </c>
      <c r="H206" s="3"/>
      <c r="I206" s="79">
        <f ca="1">ABS(PERCENTILE(OFFSET(Calculation!$N$16, ROW()-2, 0, 30, 1), 0.05))*500000</f>
        <v>6747.6162047860353</v>
      </c>
      <c r="J206" s="81">
        <f ca="1">ABS(PERCENTILE(OFFSET(Calculation!$N$16, ROW()-2, 0, 30, 1), 0.01))*500000</f>
        <v>9828.7847902573394</v>
      </c>
    </row>
    <row r="207" spans="5:10" x14ac:dyDescent="0.2">
      <c r="E207" s="56">
        <f>Calculation!B221</f>
        <v>45880</v>
      </c>
      <c r="F207">
        <f>F208*(1+Calculation!N221)</f>
        <v>514742.0272482236</v>
      </c>
      <c r="G207" s="3">
        <f>Calculation!$C$10</f>
        <v>500000</v>
      </c>
      <c r="H207" s="3"/>
      <c r="I207" s="79">
        <f ca="1">ABS(PERCENTILE(OFFSET(Calculation!$N$16, ROW()-2, 0, 30, 1), 0.05))*500000</f>
        <v>6747.6162047860353</v>
      </c>
      <c r="J207" s="81">
        <f ca="1">ABS(PERCENTILE(OFFSET(Calculation!$N$16, ROW()-2, 0, 30, 1), 0.01))*500000</f>
        <v>9828.7847902573394</v>
      </c>
    </row>
    <row r="208" spans="5:10" x14ac:dyDescent="0.2">
      <c r="E208" s="56">
        <f>Calculation!B222</f>
        <v>45877</v>
      </c>
      <c r="F208">
        <f>F209*(1+Calculation!N222)</f>
        <v>509043.94771597825</v>
      </c>
      <c r="G208" s="3">
        <f>Calculation!$C$10</f>
        <v>500000</v>
      </c>
      <c r="H208" s="3"/>
      <c r="I208" s="79">
        <f ca="1">ABS(PERCENTILE(OFFSET(Calculation!$N$16, ROW()-2, 0, 30, 1), 0.05))*500000</f>
        <v>6747.6162047860353</v>
      </c>
      <c r="J208" s="81">
        <f ca="1">ABS(PERCENTILE(OFFSET(Calculation!$N$16, ROW()-2, 0, 30, 1), 0.01))*500000</f>
        <v>9828.7847902573394</v>
      </c>
    </row>
    <row r="209" spans="5:10" x14ac:dyDescent="0.2">
      <c r="E209" s="56">
        <f>Calculation!B223</f>
        <v>45876</v>
      </c>
      <c r="F209">
        <f>F210*(1+Calculation!N223)</f>
        <v>515381.45920883009</v>
      </c>
      <c r="G209" s="3">
        <f>Calculation!$C$10</f>
        <v>500000</v>
      </c>
      <c r="H209" s="3"/>
      <c r="I209" s="79">
        <f ca="1">ABS(PERCENTILE(OFFSET(Calculation!$N$16, ROW()-2, 0, 30, 1), 0.05))*500000</f>
        <v>6734.5168679207691</v>
      </c>
      <c r="J209" s="81">
        <f ca="1">ABS(PERCENTILE(OFFSET(Calculation!$N$16, ROW()-2, 0, 30, 1), 0.01))*500000</f>
        <v>9828.7847902573394</v>
      </c>
    </row>
    <row r="210" spans="5:10" x14ac:dyDescent="0.2">
      <c r="E210" s="56">
        <f>Calculation!B224</f>
        <v>45875</v>
      </c>
      <c r="F210">
        <f>F211*(1+Calculation!N224)</f>
        <v>513697.0840875773</v>
      </c>
      <c r="G210" s="3">
        <f>Calculation!$C$10</f>
        <v>500000</v>
      </c>
      <c r="H210" s="3"/>
      <c r="I210" s="79">
        <f ca="1">ABS(PERCENTILE(OFFSET(Calculation!$N$16, ROW()-2, 0, 30, 1), 0.05))*500000</f>
        <v>6734.5168679207691</v>
      </c>
      <c r="J210" s="81">
        <f ca="1">ABS(PERCENTILE(OFFSET(Calculation!$N$16, ROW()-2, 0, 30, 1), 0.01))*500000</f>
        <v>9828.7847902573394</v>
      </c>
    </row>
    <row r="211" spans="5:10" x14ac:dyDescent="0.2">
      <c r="E211" s="56">
        <f>Calculation!B225</f>
        <v>45874</v>
      </c>
      <c r="F211">
        <f>F212*(1+Calculation!N225)</f>
        <v>525131.32497336552</v>
      </c>
      <c r="G211" s="3">
        <f>Calculation!$C$10</f>
        <v>500000</v>
      </c>
      <c r="H211" s="3"/>
      <c r="I211" s="79">
        <f ca="1">ABS(PERCENTILE(OFFSET(Calculation!$N$16, ROW()-2, 0, 30, 1), 0.05))*500000</f>
        <v>5145.2515236935733</v>
      </c>
      <c r="J211" s="81">
        <f ca="1">ABS(PERCENTILE(OFFSET(Calculation!$N$16, ROW()-2, 0, 30, 1), 0.01))*500000</f>
        <v>6913.5006665975634</v>
      </c>
    </row>
    <row r="212" spans="5:10" x14ac:dyDescent="0.2">
      <c r="E212" s="56">
        <f>Calculation!B226</f>
        <v>45873</v>
      </c>
      <c r="F212">
        <f>F213*(1+Calculation!N226)</f>
        <v>526319.31483852351</v>
      </c>
      <c r="G212" s="3">
        <f>Calculation!$C$10</f>
        <v>500000</v>
      </c>
      <c r="H212" s="3"/>
      <c r="I212" s="79">
        <f ca="1">ABS(PERCENTILE(OFFSET(Calculation!$N$16, ROW()-2, 0, 30, 1), 0.05))*500000</f>
        <v>5145.2515236935733</v>
      </c>
      <c r="J212" s="81">
        <f ca="1">ABS(PERCENTILE(OFFSET(Calculation!$N$16, ROW()-2, 0, 30, 1), 0.01))*500000</f>
        <v>6913.5006665975634</v>
      </c>
    </row>
    <row r="213" spans="5:10" x14ac:dyDescent="0.2">
      <c r="E213" s="56">
        <f>Calculation!B227</f>
        <v>45870</v>
      </c>
      <c r="F213">
        <f>F214*(1+Calculation!N227)</f>
        <v>517775.28835014644</v>
      </c>
      <c r="G213" s="3">
        <f>Calculation!$C$10</f>
        <v>500000</v>
      </c>
      <c r="H213" s="3"/>
      <c r="I213" s="79">
        <f ca="1">ABS(PERCENTILE(OFFSET(Calculation!$N$16, ROW()-2, 0, 30, 1), 0.05))*500000</f>
        <v>5145.2515236935733</v>
      </c>
      <c r="J213" s="81">
        <f ca="1">ABS(PERCENTILE(OFFSET(Calculation!$N$16, ROW()-2, 0, 30, 1), 0.01))*500000</f>
        <v>6913.5006665975634</v>
      </c>
    </row>
    <row r="214" spans="5:10" x14ac:dyDescent="0.2">
      <c r="E214" s="56">
        <f>Calculation!B228</f>
        <v>45869</v>
      </c>
      <c r="F214">
        <f>F215*(1+Calculation!N228)</f>
        <v>521903.33143959782</v>
      </c>
      <c r="G214" s="3">
        <f>Calculation!$C$10</f>
        <v>500000</v>
      </c>
      <c r="H214" s="3"/>
      <c r="I214" s="79">
        <f ca="1">ABS(PERCENTILE(OFFSET(Calculation!$N$16, ROW()-2, 0, 30, 1), 0.05))*500000</f>
        <v>4810.4642786087779</v>
      </c>
      <c r="J214" s="81">
        <f ca="1">ABS(PERCENTILE(OFFSET(Calculation!$N$16, ROW()-2, 0, 30, 1), 0.01))*500000</f>
        <v>6913.5006665975634</v>
      </c>
    </row>
    <row r="215" spans="5:10" x14ac:dyDescent="0.2">
      <c r="E215" s="56">
        <f>Calculation!B229</f>
        <v>45868</v>
      </c>
      <c r="F215">
        <f>F216*(1+Calculation!N229)</f>
        <v>521525.78122319543</v>
      </c>
      <c r="G215" s="3">
        <f>Calculation!$C$10</f>
        <v>500000</v>
      </c>
      <c r="H215" s="3"/>
      <c r="I215" s="79">
        <f ca="1">ABS(PERCENTILE(OFFSET(Calculation!$N$16, ROW()-2, 0, 30, 1), 0.05))*500000</f>
        <v>4810.4642786087779</v>
      </c>
      <c r="J215" s="81">
        <f ca="1">ABS(PERCENTILE(OFFSET(Calculation!$N$16, ROW()-2, 0, 30, 1), 0.01))*500000</f>
        <v>6913.5006665975634</v>
      </c>
    </row>
    <row r="216" spans="5:10" x14ac:dyDescent="0.2">
      <c r="E216" s="56">
        <f>Calculation!B230</f>
        <v>45867</v>
      </c>
      <c r="F216">
        <f>F217*(1+Calculation!N230)</f>
        <v>521637.70657440374</v>
      </c>
      <c r="G216" s="3">
        <f>Calculation!$C$10</f>
        <v>500000</v>
      </c>
      <c r="H216" s="3"/>
      <c r="I216" s="79">
        <f ca="1">ABS(PERCENTILE(OFFSET(Calculation!$N$16, ROW()-2, 0, 30, 1), 0.05))*500000</f>
        <v>4810.4642786087779</v>
      </c>
      <c r="J216" s="81">
        <f ca="1">ABS(PERCENTILE(OFFSET(Calculation!$N$16, ROW()-2, 0, 30, 1), 0.01))*500000</f>
        <v>6913.5006665975634</v>
      </c>
    </row>
    <row r="217" spans="5:10" x14ac:dyDescent="0.2">
      <c r="E217" s="56">
        <f>Calculation!B231</f>
        <v>45866</v>
      </c>
      <c r="F217">
        <f>F218*(1+Calculation!N231)</f>
        <v>515465.9756196363</v>
      </c>
      <c r="G217" s="3">
        <f>Calculation!$C$10</f>
        <v>500000</v>
      </c>
      <c r="H217" s="3"/>
      <c r="I217" s="79">
        <f ca="1">ABS(PERCENTILE(OFFSET(Calculation!$N$16, ROW()-2, 0, 30, 1), 0.05))*500000</f>
        <v>5150.7100501838822</v>
      </c>
      <c r="J217" s="81">
        <f ca="1">ABS(PERCENTILE(OFFSET(Calculation!$N$16, ROW()-2, 0, 30, 1), 0.01))*500000</f>
        <v>6913.5006665975634</v>
      </c>
    </row>
    <row r="218" spans="5:10" x14ac:dyDescent="0.2">
      <c r="E218" s="56">
        <f>Calculation!B232</f>
        <v>45863</v>
      </c>
      <c r="F218">
        <f>F219*(1+Calculation!N232)</f>
        <v>517352.35892721202</v>
      </c>
      <c r="G218" s="3">
        <f>Calculation!$C$10</f>
        <v>500000</v>
      </c>
      <c r="H218" s="3"/>
      <c r="I218" s="79">
        <f ca="1">ABS(PERCENTILE(OFFSET(Calculation!$N$16, ROW()-2, 0, 30, 1), 0.05))*500000</f>
        <v>5150.7100501838822</v>
      </c>
      <c r="J218" s="81">
        <f ca="1">ABS(PERCENTILE(OFFSET(Calculation!$N$16, ROW()-2, 0, 30, 1), 0.01))*500000</f>
        <v>6913.5006665975634</v>
      </c>
    </row>
    <row r="219" spans="5:10" x14ac:dyDescent="0.2">
      <c r="E219" s="56">
        <f>Calculation!B233</f>
        <v>45862</v>
      </c>
      <c r="F219">
        <f>F220*(1+Calculation!N233)</f>
        <v>520696.08694381162</v>
      </c>
      <c r="G219" s="3">
        <f>Calculation!$C$10</f>
        <v>500000</v>
      </c>
      <c r="H219" s="3"/>
      <c r="I219" s="79"/>
      <c r="J219" s="81"/>
    </row>
    <row r="220" spans="5:10" x14ac:dyDescent="0.2">
      <c r="E220" s="56">
        <f>Calculation!B234</f>
        <v>45861</v>
      </c>
      <c r="F220">
        <f>F221*(1+Calculation!N234)</f>
        <v>528344.30270151352</v>
      </c>
      <c r="G220" s="3">
        <f>Calculation!$C$10</f>
        <v>500000</v>
      </c>
      <c r="H220" s="3"/>
      <c r="I220" s="79"/>
      <c r="J220" s="81"/>
    </row>
    <row r="221" spans="5:10" x14ac:dyDescent="0.2">
      <c r="E221" s="56">
        <f>Calculation!B235</f>
        <v>45860</v>
      </c>
      <c r="F221">
        <f>F222*(1+Calculation!N235)</f>
        <v>527950.88933546143</v>
      </c>
      <c r="G221" s="3">
        <f>Calculation!$C$10</f>
        <v>500000</v>
      </c>
      <c r="H221" s="3"/>
      <c r="I221" s="79"/>
      <c r="J221" s="81"/>
    </row>
    <row r="222" spans="5:10" x14ac:dyDescent="0.2">
      <c r="E222" s="56">
        <f>Calculation!B236</f>
        <v>45859</v>
      </c>
      <c r="F222">
        <f>F223*(1+Calculation!N236)</f>
        <v>534492.28390599682</v>
      </c>
      <c r="G222" s="3">
        <f>Calculation!$C$10</f>
        <v>500000</v>
      </c>
      <c r="H222" s="3"/>
      <c r="I222" s="79"/>
      <c r="J222" s="81"/>
    </row>
    <row r="223" spans="5:10" x14ac:dyDescent="0.2">
      <c r="E223" s="56">
        <f>Calculation!B237</f>
        <v>45856</v>
      </c>
      <c r="F223">
        <f>F224*(1+Calculation!N237)</f>
        <v>533726.46989044663</v>
      </c>
      <c r="G223" s="3">
        <f>Calculation!$C$10</f>
        <v>500000</v>
      </c>
      <c r="H223" s="3"/>
      <c r="I223" s="79"/>
      <c r="J223" s="81"/>
    </row>
    <row r="224" spans="5:10" x14ac:dyDescent="0.2">
      <c r="E224" s="56">
        <f>Calculation!B238</f>
        <v>45855</v>
      </c>
      <c r="F224">
        <f>F225*(1+Calculation!N238)</f>
        <v>535992.72443850629</v>
      </c>
      <c r="G224" s="3">
        <f>Calculation!$C$10</f>
        <v>500000</v>
      </c>
      <c r="H224" s="3"/>
      <c r="I224" s="79"/>
      <c r="J224" s="81"/>
    </row>
    <row r="225" spans="5:10" x14ac:dyDescent="0.2">
      <c r="E225" s="56">
        <f>Calculation!B239</f>
        <v>45854</v>
      </c>
      <c r="F225">
        <f>F226*(1+Calculation!N239)</f>
        <v>536217.45993347943</v>
      </c>
      <c r="G225" s="3">
        <f>Calculation!$C$10</f>
        <v>500000</v>
      </c>
      <c r="H225" s="3"/>
      <c r="I225" s="79"/>
      <c r="J225" s="81"/>
    </row>
    <row r="226" spans="5:10" x14ac:dyDescent="0.2">
      <c r="E226" s="56">
        <f>Calculation!B240</f>
        <v>45853</v>
      </c>
      <c r="F226">
        <f>F227*(1+Calculation!N240)</f>
        <v>533919.01388923731</v>
      </c>
      <c r="G226" s="3">
        <f>Calculation!$C$10</f>
        <v>500000</v>
      </c>
      <c r="H226" s="3"/>
      <c r="I226" s="79"/>
      <c r="J226" s="81"/>
    </row>
    <row r="227" spans="5:10" x14ac:dyDescent="0.2">
      <c r="E227" s="56">
        <f>Calculation!B241</f>
        <v>45852</v>
      </c>
      <c r="F227">
        <f>F228*(1+Calculation!N241)</f>
        <v>530343.68164377369</v>
      </c>
      <c r="G227" s="3">
        <f>Calculation!$C$10</f>
        <v>500000</v>
      </c>
      <c r="H227" s="3"/>
      <c r="I227" s="79"/>
      <c r="J227" s="81"/>
    </row>
    <row r="228" spans="5:10" x14ac:dyDescent="0.2">
      <c r="E228" s="56">
        <f>Calculation!B242</f>
        <v>45849</v>
      </c>
      <c r="F228">
        <f>F229*(1+Calculation!N242)</f>
        <v>528921.88966320502</v>
      </c>
      <c r="G228" s="3">
        <f>Calculation!$C$10</f>
        <v>500000</v>
      </c>
      <c r="H228" s="3"/>
      <c r="I228" s="79"/>
      <c r="J228" s="81"/>
    </row>
    <row r="229" spans="5:10" x14ac:dyDescent="0.2">
      <c r="E229" s="56">
        <f>Calculation!B243</f>
        <v>45848</v>
      </c>
      <c r="F229">
        <f>F230*(1+Calculation!N243)</f>
        <v>530584.82416214026</v>
      </c>
      <c r="G229" s="3">
        <f>Calculation!$C$10</f>
        <v>500000</v>
      </c>
      <c r="H229" s="3"/>
      <c r="I229" s="79"/>
      <c r="J229" s="81"/>
    </row>
    <row r="230" spans="5:10" x14ac:dyDescent="0.2">
      <c r="E230" s="56">
        <f>Calculation!B244</f>
        <v>45847</v>
      </c>
      <c r="F230">
        <f>F231*(1+Calculation!N244)</f>
        <v>532468.38681709685</v>
      </c>
      <c r="G230" s="3">
        <f>Calculation!$C$10</f>
        <v>500000</v>
      </c>
      <c r="H230" s="3"/>
      <c r="I230" s="79"/>
      <c r="J230" s="81"/>
    </row>
    <row r="231" spans="5:10" x14ac:dyDescent="0.2">
      <c r="E231" s="56">
        <f>Calculation!B245</f>
        <v>45846</v>
      </c>
      <c r="F231">
        <f>F232*(1+Calculation!N245)</f>
        <v>530148.74657259264</v>
      </c>
      <c r="G231" s="3">
        <f>Calculation!$C$10</f>
        <v>500000</v>
      </c>
      <c r="H231" s="3"/>
      <c r="I231" s="79"/>
      <c r="J231" s="81"/>
    </row>
    <row r="232" spans="5:10" x14ac:dyDescent="0.2">
      <c r="E232" s="56">
        <f>Calculation!B246</f>
        <v>45845</v>
      </c>
      <c r="F232">
        <f>F233*(1+Calculation!N246)</f>
        <v>530622.38608791528</v>
      </c>
      <c r="G232" s="3">
        <f>Calculation!$C$10</f>
        <v>500000</v>
      </c>
      <c r="H232" s="3"/>
      <c r="I232" s="79"/>
      <c r="J232" s="81"/>
    </row>
    <row r="233" spans="5:10" x14ac:dyDescent="0.2">
      <c r="E233" s="56">
        <f>Calculation!B247</f>
        <v>45842</v>
      </c>
      <c r="F233">
        <f>F234*(1+Calculation!N247)</f>
        <v>530727.62770916021</v>
      </c>
      <c r="G233" s="3">
        <f>Calculation!$C$10</f>
        <v>500000</v>
      </c>
      <c r="H233" s="3"/>
      <c r="I233" s="79"/>
      <c r="J233" s="81"/>
    </row>
    <row r="234" spans="5:10" x14ac:dyDescent="0.2">
      <c r="E234" s="56">
        <f>Calculation!B248</f>
        <v>45841</v>
      </c>
      <c r="F234">
        <f>F235*(1+Calculation!N248)</f>
        <v>525760.71937399835</v>
      </c>
      <c r="G234" s="3">
        <f>Calculation!$C$10</f>
        <v>500000</v>
      </c>
      <c r="H234" s="3"/>
      <c r="I234" s="79"/>
      <c r="J234" s="81"/>
    </row>
    <row r="235" spans="5:10" x14ac:dyDescent="0.2">
      <c r="E235" s="56">
        <f>Calculation!B249</f>
        <v>45840</v>
      </c>
      <c r="F235">
        <f>F236*(1+Calculation!N249)</f>
        <v>518576.89304517646</v>
      </c>
      <c r="G235" s="3">
        <f>Calculation!$C$10</f>
        <v>500000</v>
      </c>
      <c r="H235" s="3"/>
      <c r="I235" s="79"/>
      <c r="J235" s="81"/>
    </row>
    <row r="236" spans="5:10" x14ac:dyDescent="0.2">
      <c r="E236" s="56">
        <f>Calculation!B250</f>
        <v>45839</v>
      </c>
      <c r="F236">
        <f>F237*(1+Calculation!N250)</f>
        <v>516126.73619735078</v>
      </c>
      <c r="G236" s="3">
        <f>Calculation!$C$10</f>
        <v>500000</v>
      </c>
      <c r="H236" s="3"/>
      <c r="I236" s="79"/>
      <c r="J236" s="81"/>
    </row>
    <row r="237" spans="5:10" x14ac:dyDescent="0.2">
      <c r="E237" s="56">
        <f>Calculation!B251</f>
        <v>45838</v>
      </c>
      <c r="F237">
        <f>F238*(1+Calculation!N251)</f>
        <v>518097.24509034684</v>
      </c>
      <c r="G237" s="3">
        <f>Calculation!$C$10</f>
        <v>500000</v>
      </c>
      <c r="H237" s="3"/>
      <c r="I237" s="79"/>
      <c r="J237" s="81"/>
    </row>
    <row r="238" spans="5:10" x14ac:dyDescent="0.2">
      <c r="E238" s="56">
        <f>Calculation!B252</f>
        <v>45835</v>
      </c>
      <c r="F238">
        <f>F239*(1+Calculation!N252)</f>
        <v>515087.84093273518</v>
      </c>
      <c r="G238" s="3">
        <f>Calculation!$C$10</f>
        <v>500000</v>
      </c>
      <c r="H238" s="3"/>
      <c r="I238" s="79"/>
      <c r="J238" s="81"/>
    </row>
    <row r="239" spans="5:10" x14ac:dyDescent="0.2">
      <c r="E239" s="56">
        <f>Calculation!B253</f>
        <v>45834</v>
      </c>
      <c r="F239">
        <f>F240*(1+Calculation!N253)</f>
        <v>509646.69833768538</v>
      </c>
      <c r="G239" s="3">
        <f>Calculation!$C$10</f>
        <v>500000</v>
      </c>
      <c r="H239" s="3"/>
      <c r="I239" s="79"/>
      <c r="J239" s="81"/>
    </row>
    <row r="240" spans="5:10" x14ac:dyDescent="0.2">
      <c r="E240" s="56">
        <f>Calculation!B254</f>
        <v>45833</v>
      </c>
      <c r="F240">
        <f>F241*(1+Calculation!N254)</f>
        <v>504883.97540306929</v>
      </c>
      <c r="G240" s="3">
        <f>Calculation!$C$10</f>
        <v>500000</v>
      </c>
      <c r="H240" s="3"/>
      <c r="I240" s="79"/>
      <c r="J240" s="81"/>
    </row>
    <row r="241" spans="5:10" x14ac:dyDescent="0.2">
      <c r="E241" s="56">
        <f>Calculation!B255</f>
        <v>45832</v>
      </c>
      <c r="F241">
        <f>F242*(1+Calculation!N255)</f>
        <v>500629.96562913927</v>
      </c>
      <c r="G241" s="3">
        <f>Calculation!$C$10</f>
        <v>500000</v>
      </c>
      <c r="H241" s="3"/>
      <c r="I241" s="79"/>
      <c r="J241" s="81"/>
    </row>
    <row r="242" spans="5:10" x14ac:dyDescent="0.2">
      <c r="E242" s="56">
        <f>Calculation!B256</f>
        <v>45831</v>
      </c>
      <c r="F242">
        <f>F243*(1+Calculation!N256)</f>
        <v>498555.02622859587</v>
      </c>
      <c r="G242" s="3">
        <f>Calculation!$C$10</f>
        <v>500000</v>
      </c>
      <c r="H242" s="3"/>
      <c r="I242" s="79"/>
      <c r="J242" s="81"/>
    </row>
    <row r="243" spans="5:10" x14ac:dyDescent="0.2">
      <c r="E243" s="56">
        <f>Calculation!B257</f>
        <v>45828</v>
      </c>
      <c r="F243">
        <f>F244*(1+Calculation!N257)</f>
        <v>500656.12067492172</v>
      </c>
      <c r="G243" s="3">
        <f>Calculation!$C$10</f>
        <v>500000</v>
      </c>
      <c r="H243" s="3"/>
      <c r="I243" s="79"/>
      <c r="J243" s="81"/>
    </row>
    <row r="244" spans="5:10" x14ac:dyDescent="0.2">
      <c r="E244" s="56">
        <f>Calculation!B258</f>
        <v>45827</v>
      </c>
      <c r="F244">
        <f>F245*(1+Calculation!N258)</f>
        <v>497491.56063337321</v>
      </c>
      <c r="G244" s="3">
        <f>Calculation!$C$10</f>
        <v>500000</v>
      </c>
      <c r="H244" s="3"/>
      <c r="I244" s="79"/>
      <c r="J244" s="81"/>
    </row>
    <row r="245" spans="5:10" x14ac:dyDescent="0.2">
      <c r="E245" s="56">
        <f>Calculation!B259</f>
        <v>45826</v>
      </c>
      <c r="F245">
        <f>F246*(1+Calculation!N259)</f>
        <v>499148.96038891649</v>
      </c>
      <c r="G245" s="3">
        <f>Calculation!$C$10</f>
        <v>500000</v>
      </c>
      <c r="H245" s="3"/>
      <c r="I245" s="79"/>
      <c r="J245" s="81"/>
    </row>
    <row r="246" spans="5:10" x14ac:dyDescent="0.2">
      <c r="E246" s="56">
        <f>Calculation!B260</f>
        <v>45825</v>
      </c>
      <c r="F246">
        <f>F247*(1+Calculation!N260)</f>
        <v>500891.42562609527</v>
      </c>
      <c r="G246" s="3">
        <f>Calculation!$C$10</f>
        <v>500000</v>
      </c>
      <c r="H246" s="3"/>
      <c r="I246" s="79"/>
      <c r="J246" s="81"/>
    </row>
    <row r="247" spans="5:10" x14ac:dyDescent="0.2">
      <c r="E247" s="56">
        <f>Calculation!B261</f>
        <v>45824</v>
      </c>
      <c r="F247">
        <f>F248*(1+Calculation!N261)</f>
        <v>504897.20604587131</v>
      </c>
      <c r="G247" s="3">
        <f>Calculation!$C$10</f>
        <v>500000</v>
      </c>
      <c r="H247" s="3"/>
      <c r="I247" s="79"/>
      <c r="J247" s="81"/>
    </row>
    <row r="248" spans="5:10" x14ac:dyDescent="0.2">
      <c r="E248" s="56">
        <f>Calculation!B262</f>
        <v>45821</v>
      </c>
      <c r="F248">
        <f>Calculation!C10</f>
        <v>500000</v>
      </c>
      <c r="G248" s="3">
        <f>Calculation!$C$10</f>
        <v>500000</v>
      </c>
      <c r="H248" s="3"/>
    </row>
    <row r="249" spans="5:10" x14ac:dyDescent="0.2">
      <c r="E249" s="56"/>
      <c r="G249" s="3"/>
      <c r="H249" s="3"/>
    </row>
    <row r="250" spans="5:10" x14ac:dyDescent="0.2">
      <c r="E250" s="56"/>
      <c r="G250" s="3"/>
      <c r="H250" s="3"/>
    </row>
    <row r="251" spans="5:10" x14ac:dyDescent="0.2">
      <c r="E251" s="56"/>
      <c r="G251" s="3"/>
      <c r="H251" s="3"/>
    </row>
    <row r="252" spans="5:10" x14ac:dyDescent="0.2">
      <c r="E252" s="56"/>
      <c r="G252" s="3"/>
      <c r="H252" s="3"/>
    </row>
    <row r="253" spans="5:10" x14ac:dyDescent="0.2">
      <c r="E253" s="56"/>
      <c r="G253" s="3"/>
      <c r="H253" s="3"/>
    </row>
    <row r="254" spans="5:10" x14ac:dyDescent="0.2">
      <c r="E254" s="56"/>
      <c r="G254" s="3"/>
      <c r="H254" s="3"/>
    </row>
    <row r="255" spans="5:10" x14ac:dyDescent="0.2">
      <c r="E255" s="56"/>
      <c r="G255" s="3"/>
      <c r="H255" s="3"/>
    </row>
    <row r="256" spans="5:10" x14ac:dyDescent="0.2">
      <c r="E256" s="56"/>
      <c r="G256" s="3"/>
      <c r="H256" s="3"/>
    </row>
    <row r="257" spans="5:8" x14ac:dyDescent="0.2">
      <c r="E257" s="56"/>
      <c r="G257" s="3"/>
      <c r="H257" s="3"/>
    </row>
    <row r="258" spans="5:8" x14ac:dyDescent="0.2">
      <c r="E258" s="56"/>
      <c r="G258" s="3"/>
      <c r="H258" s="3"/>
    </row>
    <row r="259" spans="5:8" x14ac:dyDescent="0.2">
      <c r="E259" s="56"/>
      <c r="G259" s="3"/>
      <c r="H259" s="3"/>
    </row>
    <row r="260" spans="5:8" x14ac:dyDescent="0.2">
      <c r="E260" s="56"/>
      <c r="G260" s="3"/>
      <c r="H260" s="3"/>
    </row>
    <row r="261" spans="5:8" x14ac:dyDescent="0.2">
      <c r="E261" s="56"/>
      <c r="G261" s="3"/>
      <c r="H261" s="3"/>
    </row>
    <row r="262" spans="5:8" x14ac:dyDescent="0.2">
      <c r="E262" s="56"/>
      <c r="G262" s="3"/>
      <c r="H262" s="3"/>
    </row>
    <row r="263" spans="5:8" x14ac:dyDescent="0.2">
      <c r="E263" s="56"/>
      <c r="G263" s="3"/>
      <c r="H263" s="3"/>
    </row>
    <row r="264" spans="5:8" x14ac:dyDescent="0.2">
      <c r="E264" s="56"/>
      <c r="G264" s="3"/>
      <c r="H264" s="3"/>
    </row>
    <row r="265" spans="5:8" x14ac:dyDescent="0.2">
      <c r="E265" s="56"/>
      <c r="G265" s="3"/>
      <c r="H265" s="3"/>
    </row>
    <row r="266" spans="5:8" x14ac:dyDescent="0.2">
      <c r="E266" s="56"/>
      <c r="G266" s="3"/>
      <c r="H266" s="3"/>
    </row>
    <row r="267" spans="5:8" x14ac:dyDescent="0.2">
      <c r="E267" s="56"/>
      <c r="G267" s="3"/>
      <c r="H267" s="3"/>
    </row>
    <row r="268" spans="5:8" x14ac:dyDescent="0.2">
      <c r="E268" s="56"/>
      <c r="G268" s="3"/>
      <c r="H268" s="3"/>
    </row>
    <row r="269" spans="5:8" x14ac:dyDescent="0.2">
      <c r="E269" s="56"/>
      <c r="G269" s="3"/>
      <c r="H269" s="3"/>
    </row>
    <row r="270" spans="5:8" x14ac:dyDescent="0.2">
      <c r="E270" s="56"/>
      <c r="G270" s="3"/>
      <c r="H270" s="3"/>
    </row>
    <row r="271" spans="5:8" x14ac:dyDescent="0.2">
      <c r="E271" s="56"/>
      <c r="G271" s="3"/>
      <c r="H271" s="3"/>
    </row>
    <row r="272" spans="5:8" x14ac:dyDescent="0.2">
      <c r="E272" s="56"/>
      <c r="G272" s="3"/>
      <c r="H272" s="3"/>
    </row>
    <row r="273" spans="5:10" x14ac:dyDescent="0.2">
      <c r="E273" s="56"/>
      <c r="G273" s="3"/>
      <c r="H273" s="3"/>
    </row>
    <row r="274" spans="5:10" x14ac:dyDescent="0.2">
      <c r="E274" s="56"/>
      <c r="G274" s="3"/>
      <c r="H274" s="3"/>
    </row>
    <row r="275" spans="5:10" x14ac:dyDescent="0.2">
      <c r="E275" s="56"/>
      <c r="G275" s="3"/>
      <c r="H275" s="3"/>
    </row>
    <row r="276" spans="5:10" x14ac:dyDescent="0.2">
      <c r="E276" s="56"/>
      <c r="G276" s="3"/>
      <c r="H276" s="3"/>
    </row>
    <row r="277" spans="5:10" x14ac:dyDescent="0.2">
      <c r="E277" s="56"/>
      <c r="G277" s="3"/>
      <c r="H277" s="3"/>
    </row>
    <row r="278" spans="5:10" x14ac:dyDescent="0.2">
      <c r="E278" s="56"/>
      <c r="G278" s="3"/>
      <c r="H278" s="3"/>
    </row>
    <row r="279" spans="5:10" x14ac:dyDescent="0.2">
      <c r="E279" s="56"/>
      <c r="G279" s="3"/>
      <c r="H279" s="3"/>
      <c r="I279" s="79"/>
      <c r="J279" s="81"/>
    </row>
    <row r="280" spans="5:10" x14ac:dyDescent="0.2">
      <c r="E280" s="56"/>
      <c r="G280" s="3"/>
      <c r="H280" s="3"/>
      <c r="I280" s="79"/>
      <c r="J280" s="80"/>
    </row>
    <row r="281" spans="5:10" x14ac:dyDescent="0.2">
      <c r="E281" s="56"/>
      <c r="G281" s="3"/>
      <c r="H281" s="3"/>
      <c r="I281" s="3"/>
      <c r="J281" s="80"/>
    </row>
    <row r="282" spans="5:10" x14ac:dyDescent="0.2">
      <c r="E282" s="56"/>
      <c r="G282" s="3"/>
      <c r="H282" s="3"/>
      <c r="I282" s="3"/>
      <c r="J282" s="3"/>
    </row>
    <row r="283" spans="5:10" x14ac:dyDescent="0.2">
      <c r="E283" s="56"/>
      <c r="G283" s="3"/>
      <c r="H283" s="3"/>
      <c r="I283" s="3"/>
      <c r="J283" s="3"/>
    </row>
    <row r="284" spans="5:10" x14ac:dyDescent="0.2">
      <c r="E284" s="56"/>
      <c r="G284" s="3"/>
      <c r="H284" s="3"/>
      <c r="I284" s="3"/>
      <c r="J284" s="3"/>
    </row>
    <row r="285" spans="5:10" x14ac:dyDescent="0.2">
      <c r="E285" s="56"/>
      <c r="G285" s="3"/>
      <c r="H285" s="3"/>
      <c r="I285" s="3"/>
      <c r="J285" s="3"/>
    </row>
    <row r="286" spans="5:10" x14ac:dyDescent="0.2">
      <c r="E286" s="56"/>
      <c r="G286" s="3"/>
      <c r="H286" s="3"/>
      <c r="I286" s="3"/>
      <c r="J286" s="3"/>
    </row>
    <row r="287" spans="5:10" x14ac:dyDescent="0.2">
      <c r="E287" s="56"/>
      <c r="G287" s="3"/>
      <c r="H287" s="3"/>
      <c r="I287" s="3"/>
      <c r="J287" s="3"/>
    </row>
    <row r="288" spans="5:10" x14ac:dyDescent="0.2">
      <c r="E288" s="56"/>
      <c r="G288" s="3"/>
      <c r="H288" s="3"/>
      <c r="I288" s="3"/>
      <c r="J288" s="3"/>
    </row>
    <row r="289" spans="5:10" x14ac:dyDescent="0.2">
      <c r="E289" s="56"/>
      <c r="G289" s="3"/>
      <c r="H289" s="3"/>
      <c r="I289" s="3"/>
      <c r="J289" s="3"/>
    </row>
    <row r="290" spans="5:10" x14ac:dyDescent="0.2">
      <c r="E290" s="56"/>
      <c r="G290" s="3"/>
      <c r="H290" s="3"/>
      <c r="I290" s="3"/>
      <c r="J290" s="3"/>
    </row>
    <row r="291" spans="5:10" x14ac:dyDescent="0.2">
      <c r="E291" s="56"/>
      <c r="G291" s="3"/>
      <c r="H291" s="3"/>
      <c r="I291" s="3"/>
      <c r="J291" s="3"/>
    </row>
    <row r="292" spans="5:10" x14ac:dyDescent="0.2">
      <c r="E292" s="56"/>
      <c r="G292" s="3"/>
      <c r="H292" s="3"/>
      <c r="I292" s="3"/>
      <c r="J292" s="3"/>
    </row>
    <row r="293" spans="5:10" x14ac:dyDescent="0.2">
      <c r="E293" s="56"/>
      <c r="G293" s="3"/>
      <c r="H293" s="3"/>
      <c r="I293" s="3"/>
      <c r="J293" s="3"/>
    </row>
    <row r="294" spans="5:10" x14ac:dyDescent="0.2">
      <c r="E294" s="56"/>
      <c r="G294" s="3"/>
      <c r="H294" s="3"/>
      <c r="I294" s="3"/>
      <c r="J294" s="3"/>
    </row>
    <row r="295" spans="5:10" x14ac:dyDescent="0.2">
      <c r="E295" s="56"/>
      <c r="G295" s="3"/>
      <c r="H295" s="3"/>
      <c r="I295" s="3"/>
      <c r="J295" s="3"/>
    </row>
    <row r="296" spans="5:10" x14ac:dyDescent="0.2">
      <c r="E296" s="56"/>
      <c r="G296" s="3"/>
      <c r="H296" s="3"/>
      <c r="I296" s="3"/>
      <c r="J296" s="3"/>
    </row>
    <row r="297" spans="5:10" x14ac:dyDescent="0.2">
      <c r="E297" s="56"/>
      <c r="G297" s="3"/>
      <c r="H297" s="3"/>
      <c r="I297" s="3"/>
      <c r="J297" s="3"/>
    </row>
    <row r="298" spans="5:10" x14ac:dyDescent="0.2">
      <c r="E298" s="56"/>
      <c r="G298" s="3"/>
      <c r="H298" s="3"/>
      <c r="I298" s="3"/>
      <c r="J298" s="3"/>
    </row>
    <row r="299" spans="5:10" x14ac:dyDescent="0.2">
      <c r="E299" s="56"/>
      <c r="G299" s="3"/>
      <c r="H299" s="3"/>
      <c r="I299" s="3"/>
      <c r="J299" s="3"/>
    </row>
    <row r="300" spans="5:10" x14ac:dyDescent="0.2">
      <c r="E300" s="56"/>
      <c r="G300" s="3"/>
      <c r="H300" s="3"/>
      <c r="I300" s="3"/>
      <c r="J300" s="3"/>
    </row>
    <row r="301" spans="5:10" x14ac:dyDescent="0.2">
      <c r="E301" s="56"/>
      <c r="G301" s="3"/>
      <c r="H301" s="3"/>
      <c r="I301" s="3"/>
      <c r="J301" s="3"/>
    </row>
    <row r="302" spans="5:10" x14ac:dyDescent="0.2">
      <c r="E302" s="56"/>
      <c r="G302" s="3"/>
      <c r="H302" s="3"/>
      <c r="I302" s="3"/>
      <c r="J302" s="3"/>
    </row>
    <row r="303" spans="5:10" x14ac:dyDescent="0.2">
      <c r="E303" s="56"/>
      <c r="G303" s="3"/>
      <c r="H303" s="3"/>
      <c r="I303" s="3"/>
      <c r="J303" s="3"/>
    </row>
    <row r="304" spans="5:10" x14ac:dyDescent="0.2">
      <c r="E304" s="56"/>
      <c r="G304" s="3"/>
      <c r="H304" s="3"/>
      <c r="I304" s="3"/>
      <c r="J304" s="3"/>
    </row>
    <row r="305" spans="5:10" x14ac:dyDescent="0.2">
      <c r="E305" s="56"/>
      <c r="G305" s="3"/>
      <c r="H305" s="3"/>
      <c r="I305" s="3"/>
      <c r="J305" s="3"/>
    </row>
    <row r="306" spans="5:10" x14ac:dyDescent="0.2">
      <c r="E306" s="56"/>
      <c r="G306" s="3"/>
      <c r="H306" s="3"/>
      <c r="I306" s="3"/>
      <c r="J306" s="3"/>
    </row>
    <row r="307" spans="5:10" x14ac:dyDescent="0.2">
      <c r="E307" s="56"/>
      <c r="G307" s="3"/>
      <c r="H307" s="3"/>
      <c r="I307" s="3"/>
      <c r="J307" s="3"/>
    </row>
    <row r="308" spans="5:10" x14ac:dyDescent="0.2">
      <c r="E308" s="56"/>
      <c r="G308" s="3"/>
      <c r="H308" s="3"/>
      <c r="I308" s="3"/>
      <c r="J308" s="3"/>
    </row>
    <row r="309" spans="5:10" x14ac:dyDescent="0.2">
      <c r="E309" s="56"/>
      <c r="G309" s="3"/>
      <c r="H309" s="3"/>
      <c r="I309" s="3"/>
      <c r="J309" s="3"/>
    </row>
    <row r="310" spans="5:10" x14ac:dyDescent="0.2">
      <c r="E310" s="56"/>
      <c r="G310" s="3"/>
      <c r="H310" s="3"/>
      <c r="I310" s="3"/>
      <c r="J310" s="3"/>
    </row>
    <row r="311" spans="5:10" x14ac:dyDescent="0.2">
      <c r="E311" s="56"/>
      <c r="G311" s="3"/>
      <c r="H311" s="3"/>
      <c r="I311" s="3"/>
      <c r="J311" s="3"/>
    </row>
    <row r="312" spans="5:10" x14ac:dyDescent="0.2">
      <c r="E312" s="56"/>
      <c r="G312" s="3"/>
      <c r="H312" s="3"/>
      <c r="I312" s="3"/>
      <c r="J312" s="3"/>
    </row>
    <row r="313" spans="5:10" x14ac:dyDescent="0.2">
      <c r="E313" s="56"/>
      <c r="G313" s="3"/>
      <c r="H313" s="3"/>
      <c r="I313" s="3"/>
      <c r="J313" s="3"/>
    </row>
    <row r="314" spans="5:10" x14ac:dyDescent="0.2">
      <c r="E314" s="56"/>
      <c r="G314" s="3"/>
      <c r="H314" s="3"/>
      <c r="I314" s="3"/>
      <c r="J314" s="3"/>
    </row>
    <row r="315" spans="5:10" x14ac:dyDescent="0.2">
      <c r="E315" s="56"/>
      <c r="G315" s="3"/>
      <c r="H315" s="3"/>
      <c r="I315" s="3"/>
      <c r="J315" s="3"/>
    </row>
    <row r="316" spans="5:10" x14ac:dyDescent="0.2">
      <c r="E316" s="56"/>
      <c r="G316" s="3"/>
      <c r="H316" s="3"/>
      <c r="I316" s="3"/>
      <c r="J316" s="3"/>
    </row>
    <row r="317" spans="5:10" x14ac:dyDescent="0.2">
      <c r="E317" s="56"/>
      <c r="G317" s="3"/>
      <c r="H317" s="3"/>
      <c r="I317" s="3"/>
      <c r="J317" s="3"/>
    </row>
    <row r="318" spans="5:10" x14ac:dyDescent="0.2">
      <c r="E318" s="56"/>
      <c r="G318" s="3"/>
      <c r="H318" s="3"/>
      <c r="I318" s="3"/>
      <c r="J318" s="3"/>
    </row>
    <row r="319" spans="5:10" x14ac:dyDescent="0.2">
      <c r="E319" s="56"/>
      <c r="G319" s="3"/>
      <c r="H319" s="3"/>
      <c r="I319" s="3"/>
      <c r="J319" s="3"/>
    </row>
    <row r="320" spans="5:10" x14ac:dyDescent="0.2">
      <c r="E320" s="56"/>
      <c r="G320" s="3"/>
      <c r="H320" s="3"/>
      <c r="I320" s="3"/>
      <c r="J320" s="3"/>
    </row>
    <row r="321" spans="5:10" x14ac:dyDescent="0.2">
      <c r="E321" s="56"/>
      <c r="G321" s="3"/>
      <c r="H321" s="3"/>
      <c r="I321" s="3"/>
      <c r="J321" s="3"/>
    </row>
    <row r="322" spans="5:10" x14ac:dyDescent="0.2">
      <c r="E322" s="56"/>
      <c r="G322" s="3"/>
      <c r="H322" s="3"/>
      <c r="I322" s="3"/>
      <c r="J322" s="3"/>
    </row>
    <row r="323" spans="5:10" x14ac:dyDescent="0.2">
      <c r="E323" s="56"/>
      <c r="G323" s="3"/>
      <c r="H323" s="3"/>
      <c r="I323" s="3"/>
      <c r="J323" s="3"/>
    </row>
    <row r="324" spans="5:10" x14ac:dyDescent="0.2">
      <c r="E324" s="56"/>
      <c r="G324" s="3"/>
      <c r="H324" s="3"/>
      <c r="I324" s="3"/>
      <c r="J324" s="3"/>
    </row>
    <row r="325" spans="5:10" x14ac:dyDescent="0.2">
      <c r="E325" s="56"/>
      <c r="G325" s="3"/>
      <c r="H325" s="3"/>
      <c r="I325" s="3"/>
      <c r="J325" s="3"/>
    </row>
    <row r="326" spans="5:10" x14ac:dyDescent="0.2">
      <c r="E326" s="56"/>
      <c r="G326" s="3"/>
      <c r="H326" s="3"/>
      <c r="I326" s="3"/>
      <c r="J326" s="3"/>
    </row>
    <row r="327" spans="5:10" x14ac:dyDescent="0.2">
      <c r="E327" s="56"/>
      <c r="G327" s="3"/>
      <c r="H327" s="3"/>
      <c r="I327" s="3"/>
      <c r="J327" s="3"/>
    </row>
    <row r="328" spans="5:10" x14ac:dyDescent="0.2">
      <c r="E328" s="56"/>
      <c r="G328" s="3"/>
      <c r="H328" s="3"/>
      <c r="I328" s="3"/>
      <c r="J328" s="3"/>
    </row>
    <row r="329" spans="5:10" x14ac:dyDescent="0.2">
      <c r="E329" s="56"/>
      <c r="G329" s="3"/>
      <c r="H329" s="3"/>
      <c r="I329" s="3"/>
      <c r="J329" s="3"/>
    </row>
    <row r="330" spans="5:10" x14ac:dyDescent="0.2">
      <c r="E330" s="56"/>
      <c r="G330" s="3"/>
      <c r="H330" s="3"/>
      <c r="I330" s="3"/>
      <c r="J330" s="3"/>
    </row>
    <row r="331" spans="5:10" x14ac:dyDescent="0.2">
      <c r="E331" s="56"/>
      <c r="G331" s="3"/>
      <c r="H331" s="3"/>
      <c r="I331" s="3"/>
      <c r="J331" s="3"/>
    </row>
    <row r="332" spans="5:10" x14ac:dyDescent="0.2">
      <c r="E332" s="56"/>
      <c r="G332" s="3"/>
      <c r="H332" s="3"/>
      <c r="I332" s="3"/>
      <c r="J332" s="3"/>
    </row>
    <row r="333" spans="5:10" x14ac:dyDescent="0.2">
      <c r="E333" s="56"/>
      <c r="G333" s="3"/>
      <c r="H333" s="3"/>
      <c r="I333" s="3"/>
      <c r="J333" s="3"/>
    </row>
    <row r="334" spans="5:10" x14ac:dyDescent="0.2">
      <c r="E334" s="56"/>
      <c r="G334" s="3"/>
      <c r="H334" s="3"/>
      <c r="I334" s="3"/>
      <c r="J334" s="3"/>
    </row>
    <row r="335" spans="5:10" x14ac:dyDescent="0.2">
      <c r="E335" s="56"/>
      <c r="G335" s="3"/>
      <c r="H335" s="3"/>
      <c r="I335" s="3"/>
      <c r="J335" s="3"/>
    </row>
    <row r="336" spans="5:10" x14ac:dyDescent="0.2">
      <c r="E336" s="56"/>
      <c r="G336" s="3"/>
      <c r="H336" s="3"/>
      <c r="I336" s="3"/>
      <c r="J336" s="3"/>
    </row>
    <row r="337" spans="5:10" x14ac:dyDescent="0.2">
      <c r="E337" s="56"/>
      <c r="G337" s="3"/>
      <c r="H337" s="3"/>
      <c r="I337" s="3"/>
      <c r="J337" s="3"/>
    </row>
    <row r="338" spans="5:10" x14ac:dyDescent="0.2">
      <c r="E338" s="56"/>
      <c r="G338" s="3"/>
      <c r="H338" s="3"/>
      <c r="I338" s="3"/>
      <c r="J338" s="3"/>
    </row>
    <row r="339" spans="5:10" x14ac:dyDescent="0.2">
      <c r="E339" s="56"/>
      <c r="G339" s="3"/>
      <c r="H339" s="3"/>
      <c r="I339" s="3"/>
      <c r="J339" s="3"/>
    </row>
    <row r="340" spans="5:10" x14ac:dyDescent="0.2">
      <c r="E340" s="56"/>
      <c r="G340" s="3"/>
      <c r="H340" s="3"/>
      <c r="I340" s="3"/>
      <c r="J340" s="3"/>
    </row>
    <row r="341" spans="5:10" x14ac:dyDescent="0.2">
      <c r="E341" s="56"/>
      <c r="G341" s="3"/>
      <c r="H341" s="3"/>
      <c r="I341" s="3"/>
      <c r="J341" s="3"/>
    </row>
    <row r="342" spans="5:10" x14ac:dyDescent="0.2">
      <c r="E342" s="56"/>
      <c r="G342" s="3"/>
      <c r="H342" s="3"/>
      <c r="I342" s="3"/>
      <c r="J342" s="3"/>
    </row>
    <row r="343" spans="5:10" x14ac:dyDescent="0.2">
      <c r="E343" s="56"/>
      <c r="G343" s="3"/>
      <c r="H343" s="3"/>
      <c r="I343" s="3"/>
      <c r="J343" s="3"/>
    </row>
    <row r="344" spans="5:10" x14ac:dyDescent="0.2">
      <c r="E344" s="56"/>
      <c r="G344" s="3"/>
      <c r="H344" s="3"/>
      <c r="I344" s="3"/>
      <c r="J344" s="3"/>
    </row>
    <row r="345" spans="5:10" x14ac:dyDescent="0.2">
      <c r="E345" s="56"/>
      <c r="G345" s="3"/>
      <c r="H345" s="3"/>
      <c r="I345" s="3"/>
      <c r="J345" s="3"/>
    </row>
    <row r="346" spans="5:10" x14ac:dyDescent="0.2">
      <c r="E346" s="56"/>
      <c r="G346" s="3"/>
      <c r="H346" s="3"/>
      <c r="I346" s="3"/>
      <c r="J346" s="3"/>
    </row>
    <row r="347" spans="5:10" x14ac:dyDescent="0.2">
      <c r="E347" s="56"/>
      <c r="G347" s="3"/>
      <c r="H347" s="3"/>
      <c r="I347" s="3"/>
      <c r="J347" s="3"/>
    </row>
    <row r="348" spans="5:10" x14ac:dyDescent="0.2">
      <c r="E348" s="56"/>
      <c r="G348" s="3"/>
      <c r="H348" s="3"/>
      <c r="I348" s="3"/>
      <c r="J348" s="3"/>
    </row>
    <row r="349" spans="5:10" x14ac:dyDescent="0.2">
      <c r="E349" s="56"/>
      <c r="G349" s="3"/>
      <c r="H349" s="3"/>
      <c r="I349" s="3"/>
      <c r="J349" s="3"/>
    </row>
    <row r="350" spans="5:10" x14ac:dyDescent="0.2">
      <c r="E350" s="56"/>
      <c r="G350" s="3"/>
      <c r="H350" s="3"/>
      <c r="I350" s="3"/>
      <c r="J350" s="3"/>
    </row>
    <row r="351" spans="5:10" x14ac:dyDescent="0.2">
      <c r="E351" s="56"/>
      <c r="G351" s="3"/>
      <c r="H351" s="3"/>
      <c r="I351" s="3"/>
      <c r="J351" s="3"/>
    </row>
    <row r="352" spans="5:10" x14ac:dyDescent="0.2">
      <c r="E352" s="56"/>
      <c r="G352" s="3"/>
      <c r="H352" s="3"/>
      <c r="I352" s="3"/>
      <c r="J352" s="3"/>
    </row>
    <row r="353" spans="5:10" x14ac:dyDescent="0.2">
      <c r="E353" s="56"/>
      <c r="G353" s="3"/>
      <c r="H353" s="3"/>
      <c r="I353" s="3"/>
      <c r="J353" s="3"/>
    </row>
    <row r="354" spans="5:10" x14ac:dyDescent="0.2">
      <c r="E354" s="56"/>
      <c r="G354" s="3"/>
      <c r="H354" s="3"/>
      <c r="I354" s="3"/>
      <c r="J354" s="3"/>
    </row>
    <row r="355" spans="5:10" x14ac:dyDescent="0.2">
      <c r="E355" s="56"/>
      <c r="G355" s="3"/>
      <c r="H355" s="3"/>
      <c r="I355" s="3"/>
      <c r="J355" s="3"/>
    </row>
    <row r="356" spans="5:10" x14ac:dyDescent="0.2">
      <c r="E356" s="56"/>
      <c r="G356" s="3"/>
      <c r="H356" s="3"/>
      <c r="I356" s="3"/>
      <c r="J356" s="3"/>
    </row>
    <row r="357" spans="5:10" x14ac:dyDescent="0.2">
      <c r="E357" s="56"/>
      <c r="G357" s="3"/>
      <c r="H357" s="3"/>
      <c r="I357" s="3"/>
      <c r="J357" s="3"/>
    </row>
    <row r="358" spans="5:10" x14ac:dyDescent="0.2">
      <c r="E358" s="56"/>
      <c r="G358" s="3"/>
      <c r="H358" s="3"/>
      <c r="I358" s="3"/>
      <c r="J358" s="3"/>
    </row>
    <row r="359" spans="5:10" x14ac:dyDescent="0.2">
      <c r="E359" s="56"/>
      <c r="G359" s="3"/>
      <c r="H359" s="3"/>
      <c r="I359" s="3"/>
      <c r="J359" s="3"/>
    </row>
    <row r="360" spans="5:10" x14ac:dyDescent="0.2">
      <c r="E360" s="56"/>
      <c r="G360" s="3"/>
      <c r="H360" s="3"/>
      <c r="I360" s="3"/>
      <c r="J360" s="3"/>
    </row>
    <row r="361" spans="5:10" x14ac:dyDescent="0.2">
      <c r="E361" s="56"/>
      <c r="G361" s="3"/>
      <c r="H361" s="3"/>
      <c r="I361" s="3"/>
      <c r="J361" s="3"/>
    </row>
    <row r="362" spans="5:10" x14ac:dyDescent="0.2">
      <c r="E362" s="56"/>
      <c r="G362" s="3"/>
      <c r="H362" s="3"/>
      <c r="I362" s="3"/>
      <c r="J362" s="3"/>
    </row>
    <row r="363" spans="5:10" x14ac:dyDescent="0.2">
      <c r="E363" s="56"/>
      <c r="G363" s="3"/>
      <c r="H363" s="3"/>
      <c r="I363" s="3"/>
      <c r="J363" s="3"/>
    </row>
    <row r="364" spans="5:10" x14ac:dyDescent="0.2">
      <c r="E364" s="56"/>
      <c r="G364" s="3"/>
      <c r="H364" s="3"/>
      <c r="I364" s="3"/>
      <c r="J364" s="3"/>
    </row>
    <row r="365" spans="5:10" x14ac:dyDescent="0.2">
      <c r="E365" s="56"/>
      <c r="G365" s="3"/>
      <c r="H365" s="3"/>
      <c r="I365" s="3"/>
      <c r="J365" s="3"/>
    </row>
    <row r="366" spans="5:10" x14ac:dyDescent="0.2">
      <c r="E366" s="56"/>
      <c r="G366" s="3"/>
      <c r="H366" s="3"/>
      <c r="I366" s="3"/>
      <c r="J366" s="3"/>
    </row>
    <row r="367" spans="5:10" x14ac:dyDescent="0.2">
      <c r="E367" s="56"/>
      <c r="G367" s="3"/>
      <c r="H367" s="3"/>
      <c r="I367" s="3"/>
      <c r="J367" s="3"/>
    </row>
    <row r="368" spans="5:10" x14ac:dyDescent="0.2">
      <c r="E368" s="56"/>
      <c r="G368" s="3"/>
      <c r="H368" s="3"/>
      <c r="I368" s="3"/>
      <c r="J368" s="3"/>
    </row>
    <row r="369" spans="5:10" x14ac:dyDescent="0.2">
      <c r="E369" s="56"/>
      <c r="G369" s="3"/>
      <c r="H369" s="3"/>
      <c r="I369" s="3"/>
      <c r="J369" s="3"/>
    </row>
    <row r="370" spans="5:10" x14ac:dyDescent="0.2">
      <c r="E370" s="56"/>
      <c r="G370" s="3"/>
      <c r="H370" s="3"/>
      <c r="I370" s="3"/>
      <c r="J370" s="3"/>
    </row>
    <row r="371" spans="5:10" x14ac:dyDescent="0.2">
      <c r="E371" s="56"/>
      <c r="G371" s="3"/>
      <c r="H371" s="3"/>
      <c r="I371" s="3"/>
      <c r="J371" s="3"/>
    </row>
    <row r="372" spans="5:10" x14ac:dyDescent="0.2">
      <c r="E372" s="56"/>
      <c r="G372" s="3"/>
      <c r="H372" s="3"/>
      <c r="I372" s="3"/>
      <c r="J372" s="3"/>
    </row>
    <row r="373" spans="5:10" x14ac:dyDescent="0.2">
      <c r="E373" s="56"/>
      <c r="G373" s="3"/>
      <c r="H373" s="3"/>
      <c r="I373" s="3"/>
      <c r="J373" s="3"/>
    </row>
    <row r="374" spans="5:10" x14ac:dyDescent="0.2">
      <c r="E374" s="56"/>
      <c r="G374" s="3"/>
      <c r="H374" s="3"/>
      <c r="I374" s="3"/>
      <c r="J374" s="3"/>
    </row>
    <row r="375" spans="5:10" x14ac:dyDescent="0.2">
      <c r="E375" s="56"/>
      <c r="G375" s="3"/>
      <c r="H375" s="3"/>
      <c r="I375" s="3"/>
      <c r="J375" s="3"/>
    </row>
    <row r="376" spans="5:10" x14ac:dyDescent="0.2">
      <c r="E376" s="56"/>
      <c r="G376" s="3"/>
      <c r="H376" s="3"/>
      <c r="I376" s="3"/>
      <c r="J376" s="3"/>
    </row>
    <row r="377" spans="5:10" x14ac:dyDescent="0.2">
      <c r="E377" s="56"/>
      <c r="G377" s="3"/>
      <c r="H377" s="3"/>
      <c r="I377" s="3"/>
      <c r="J377" s="3"/>
    </row>
    <row r="378" spans="5:10" x14ac:dyDescent="0.2">
      <c r="E378" s="56"/>
      <c r="G378" s="3"/>
      <c r="H378" s="3"/>
      <c r="I378" s="3"/>
      <c r="J378" s="3"/>
    </row>
    <row r="379" spans="5:10" x14ac:dyDescent="0.2">
      <c r="E379" s="56"/>
      <c r="G379" s="3"/>
      <c r="H379" s="3"/>
      <c r="I379" s="3"/>
      <c r="J379" s="3"/>
    </row>
    <row r="380" spans="5:10" x14ac:dyDescent="0.2">
      <c r="E380" s="56"/>
      <c r="G380" s="3"/>
      <c r="H380" s="3"/>
      <c r="I380" s="3"/>
      <c r="J380" s="3"/>
    </row>
    <row r="381" spans="5:10" x14ac:dyDescent="0.2">
      <c r="E381" s="56"/>
      <c r="G381" s="3"/>
      <c r="H381" s="3"/>
      <c r="I381" s="3"/>
      <c r="J381" s="3"/>
    </row>
    <row r="382" spans="5:10" x14ac:dyDescent="0.2">
      <c r="E382" s="56"/>
      <c r="G382" s="3"/>
      <c r="H382" s="3"/>
      <c r="I382" s="3"/>
      <c r="J382" s="3"/>
    </row>
    <row r="383" spans="5:10" x14ac:dyDescent="0.2">
      <c r="E383" s="56"/>
      <c r="G383" s="3"/>
      <c r="H383" s="3"/>
      <c r="I383" s="3"/>
      <c r="J383" s="3"/>
    </row>
    <row r="384" spans="5:10" x14ac:dyDescent="0.2">
      <c r="E384" s="56"/>
      <c r="G384" s="3"/>
      <c r="H384" s="3"/>
      <c r="I384" s="3"/>
      <c r="J384" s="3"/>
    </row>
    <row r="385" spans="5:10" x14ac:dyDescent="0.2">
      <c r="E385" s="56"/>
      <c r="G385" s="3"/>
      <c r="H385" s="3"/>
      <c r="I385" s="3"/>
      <c r="J385" s="3"/>
    </row>
    <row r="386" spans="5:10" x14ac:dyDescent="0.2">
      <c r="E386" s="56"/>
      <c r="G386" s="3"/>
      <c r="H386" s="3"/>
      <c r="I386" s="3"/>
      <c r="J386" s="3"/>
    </row>
    <row r="387" spans="5:10" x14ac:dyDescent="0.2">
      <c r="E387" s="56"/>
      <c r="G387" s="3"/>
      <c r="H387" s="3"/>
      <c r="I387" s="3"/>
      <c r="J387" s="3"/>
    </row>
    <row r="388" spans="5:10" x14ac:dyDescent="0.2">
      <c r="E388" s="56"/>
      <c r="G388" s="3"/>
      <c r="H388" s="3"/>
      <c r="I388" s="3"/>
      <c r="J388" s="3"/>
    </row>
    <row r="389" spans="5:10" x14ac:dyDescent="0.2">
      <c r="E389" s="56"/>
      <c r="G389" s="3"/>
      <c r="H389" s="3"/>
      <c r="I389" s="3"/>
      <c r="J389" s="3"/>
    </row>
    <row r="390" spans="5:10" x14ac:dyDescent="0.2">
      <c r="E390" s="56"/>
      <c r="G390" s="3"/>
      <c r="H390" s="3"/>
      <c r="I390" s="3"/>
      <c r="J390" s="3"/>
    </row>
    <row r="391" spans="5:10" x14ac:dyDescent="0.2">
      <c r="E391" s="56"/>
      <c r="G391" s="3"/>
      <c r="H391" s="3"/>
      <c r="I391" s="3"/>
      <c r="J391" s="3"/>
    </row>
    <row r="392" spans="5:10" x14ac:dyDescent="0.2">
      <c r="E392" s="56"/>
      <c r="G392" s="3"/>
      <c r="H392" s="3"/>
      <c r="I392" s="3"/>
      <c r="J392" s="3"/>
    </row>
    <row r="393" spans="5:10" x14ac:dyDescent="0.2">
      <c r="E393" s="56"/>
      <c r="G393" s="3"/>
      <c r="H393" s="3"/>
      <c r="I393" s="3"/>
      <c r="J393" s="3"/>
    </row>
    <row r="394" spans="5:10" x14ac:dyDescent="0.2">
      <c r="E394" s="56"/>
      <c r="G394" s="3"/>
      <c r="H394" s="3"/>
      <c r="I394" s="3"/>
      <c r="J394" s="3"/>
    </row>
    <row r="395" spans="5:10" x14ac:dyDescent="0.2">
      <c r="E395" s="56"/>
      <c r="G395" s="3"/>
      <c r="H395" s="3"/>
      <c r="I395" s="3"/>
      <c r="J395" s="3"/>
    </row>
    <row r="396" spans="5:10" x14ac:dyDescent="0.2">
      <c r="E396" s="56"/>
      <c r="G396" s="3"/>
      <c r="H396" s="3"/>
      <c r="I396" s="3"/>
      <c r="J396" s="3"/>
    </row>
    <row r="397" spans="5:10" x14ac:dyDescent="0.2">
      <c r="E397" s="56"/>
      <c r="G397" s="3"/>
      <c r="H397" s="3"/>
      <c r="I397" s="3"/>
      <c r="J397" s="3"/>
    </row>
    <row r="398" spans="5:10" x14ac:dyDescent="0.2">
      <c r="E398" s="56"/>
      <c r="G398" s="3"/>
      <c r="H398" s="3"/>
      <c r="I398" s="3"/>
      <c r="J398" s="3"/>
    </row>
    <row r="399" spans="5:10" x14ac:dyDescent="0.2">
      <c r="E399" s="56"/>
      <c r="G399" s="3"/>
      <c r="H399" s="3"/>
      <c r="I399" s="3"/>
      <c r="J399" s="3"/>
    </row>
    <row r="400" spans="5:10" x14ac:dyDescent="0.2">
      <c r="E400" s="56"/>
      <c r="G400" s="3"/>
      <c r="H400" s="3"/>
      <c r="I400" s="3"/>
      <c r="J400" s="3"/>
    </row>
    <row r="401" spans="5:10" x14ac:dyDescent="0.2">
      <c r="E401" s="56"/>
      <c r="G401" s="3"/>
      <c r="H401" s="3"/>
      <c r="I401" s="3"/>
      <c r="J401" s="3"/>
    </row>
    <row r="402" spans="5:10" x14ac:dyDescent="0.2">
      <c r="E402" s="56"/>
      <c r="G402" s="3"/>
      <c r="H402" s="3"/>
      <c r="I402" s="3"/>
      <c r="J402" s="3"/>
    </row>
    <row r="403" spans="5:10" x14ac:dyDescent="0.2">
      <c r="E403" s="56"/>
      <c r="G403" s="3"/>
      <c r="H403" s="3"/>
      <c r="I403" s="3"/>
      <c r="J403" s="3"/>
    </row>
    <row r="404" spans="5:10" x14ac:dyDescent="0.2">
      <c r="E404" s="56"/>
      <c r="G404" s="3"/>
      <c r="H404" s="3"/>
      <c r="I404" s="3"/>
      <c r="J404" s="3"/>
    </row>
    <row r="405" spans="5:10" x14ac:dyDescent="0.2">
      <c r="E405" s="56"/>
      <c r="G405" s="3"/>
      <c r="H405" s="3"/>
      <c r="I405" s="3"/>
      <c r="J405" s="3"/>
    </row>
    <row r="406" spans="5:10" x14ac:dyDescent="0.2">
      <c r="E406" s="56"/>
      <c r="G406" s="3"/>
      <c r="H406" s="3"/>
      <c r="I406" s="3"/>
      <c r="J406" s="3"/>
    </row>
    <row r="407" spans="5:10" x14ac:dyDescent="0.2">
      <c r="E407" s="56"/>
      <c r="G407" s="3"/>
      <c r="H407" s="3"/>
      <c r="I407" s="3"/>
      <c r="J407" s="3"/>
    </row>
    <row r="408" spans="5:10" x14ac:dyDescent="0.2">
      <c r="E408" s="56"/>
      <c r="G408" s="3"/>
      <c r="H408" s="3"/>
      <c r="I408" s="3"/>
      <c r="J408" s="3"/>
    </row>
    <row r="409" spans="5:10" x14ac:dyDescent="0.2">
      <c r="E409" s="56"/>
      <c r="G409" s="3"/>
      <c r="H409" s="3"/>
      <c r="I409" s="3"/>
      <c r="J409" s="3"/>
    </row>
    <row r="410" spans="5:10" x14ac:dyDescent="0.2">
      <c r="E410" s="56"/>
      <c r="G410" s="3"/>
      <c r="H410" s="3"/>
      <c r="I410" s="3"/>
      <c r="J410" s="3"/>
    </row>
    <row r="411" spans="5:10" x14ac:dyDescent="0.2">
      <c r="E411" s="56"/>
      <c r="G411" s="3"/>
      <c r="H411" s="3"/>
      <c r="I411" s="3"/>
      <c r="J411" s="3"/>
    </row>
    <row r="412" spans="5:10" x14ac:dyDescent="0.2">
      <c r="E412" s="56"/>
      <c r="G412" s="3"/>
      <c r="H412" s="3"/>
      <c r="I412" s="3"/>
      <c r="J412" s="3"/>
    </row>
    <row r="413" spans="5:10" x14ac:dyDescent="0.2">
      <c r="E413" s="56"/>
      <c r="G413" s="3"/>
      <c r="H413" s="3"/>
      <c r="I413" s="3"/>
      <c r="J413" s="3"/>
    </row>
    <row r="414" spans="5:10" x14ac:dyDescent="0.2">
      <c r="E414" s="56"/>
      <c r="G414" s="3"/>
      <c r="H414" s="3"/>
      <c r="I414" s="3"/>
      <c r="J414" s="3"/>
    </row>
    <row r="415" spans="5:10" x14ac:dyDescent="0.2">
      <c r="E415" s="56"/>
      <c r="G415" s="3"/>
      <c r="H415" s="3"/>
      <c r="I415" s="3"/>
      <c r="J415" s="3"/>
    </row>
    <row r="416" spans="5:10" x14ac:dyDescent="0.2">
      <c r="E416" s="56"/>
      <c r="G416" s="3"/>
      <c r="H416" s="3"/>
      <c r="I416" s="3"/>
      <c r="J416" s="3"/>
    </row>
    <row r="417" spans="5:10" x14ac:dyDescent="0.2">
      <c r="E417" s="56"/>
      <c r="G417" s="3"/>
      <c r="H417" s="3"/>
      <c r="I417" s="3"/>
      <c r="J417" s="3"/>
    </row>
    <row r="418" spans="5:10" x14ac:dyDescent="0.2">
      <c r="E418" s="56"/>
      <c r="G418" s="3"/>
      <c r="H418" s="3"/>
      <c r="I418" s="3"/>
      <c r="J418" s="3"/>
    </row>
    <row r="419" spans="5:10" x14ac:dyDescent="0.2">
      <c r="E419" s="56"/>
      <c r="G419" s="3"/>
      <c r="H419" s="3"/>
      <c r="I419" s="3"/>
      <c r="J419" s="3"/>
    </row>
    <row r="420" spans="5:10" x14ac:dyDescent="0.2">
      <c r="E420" s="56"/>
      <c r="G420" s="3"/>
      <c r="H420" s="3"/>
      <c r="I420" s="3"/>
      <c r="J420" s="3"/>
    </row>
    <row r="421" spans="5:10" x14ac:dyDescent="0.2">
      <c r="E421" s="56"/>
      <c r="G421" s="3"/>
      <c r="H421" s="3"/>
      <c r="I421" s="3"/>
      <c r="J421" s="3"/>
    </row>
    <row r="422" spans="5:10" x14ac:dyDescent="0.2">
      <c r="E422" s="56"/>
      <c r="G422" s="3"/>
      <c r="H422" s="3"/>
      <c r="I422" s="3"/>
      <c r="J422" s="3"/>
    </row>
    <row r="423" spans="5:10" x14ac:dyDescent="0.2">
      <c r="E423" s="56"/>
      <c r="G423" s="3"/>
      <c r="H423" s="3"/>
      <c r="I423" s="3"/>
      <c r="J423" s="3"/>
    </row>
    <row r="424" spans="5:10" x14ac:dyDescent="0.2">
      <c r="E424" s="56"/>
      <c r="G424" s="3"/>
      <c r="H424" s="3"/>
      <c r="I424" s="3"/>
      <c r="J424" s="3"/>
    </row>
    <row r="425" spans="5:10" x14ac:dyDescent="0.2">
      <c r="E425" s="56"/>
      <c r="G425" s="3"/>
      <c r="H425" s="3"/>
      <c r="I425" s="3"/>
      <c r="J425" s="3"/>
    </row>
    <row r="426" spans="5:10" x14ac:dyDescent="0.2">
      <c r="E426" s="56"/>
      <c r="G426" s="3"/>
      <c r="H426" s="3"/>
      <c r="I426" s="3"/>
      <c r="J426" s="3"/>
    </row>
    <row r="427" spans="5:10" x14ac:dyDescent="0.2">
      <c r="E427" s="56"/>
      <c r="G427" s="3"/>
      <c r="H427" s="3"/>
      <c r="I427" s="3"/>
      <c r="J427" s="3"/>
    </row>
    <row r="428" spans="5:10" x14ac:dyDescent="0.2">
      <c r="E428" s="56"/>
      <c r="G428" s="3"/>
      <c r="H428" s="3"/>
      <c r="I428" s="3"/>
      <c r="J428" s="3"/>
    </row>
    <row r="429" spans="5:10" x14ac:dyDescent="0.2">
      <c r="E429" s="56"/>
      <c r="G429" s="3"/>
      <c r="H429" s="3"/>
      <c r="I429" s="3"/>
      <c r="J429" s="3"/>
    </row>
    <row r="430" spans="5:10" x14ac:dyDescent="0.2">
      <c r="E430" s="56"/>
      <c r="G430" s="3"/>
      <c r="H430" s="3"/>
      <c r="I430" s="3"/>
      <c r="J430" s="3"/>
    </row>
    <row r="431" spans="5:10" x14ac:dyDescent="0.2">
      <c r="E431" s="56"/>
      <c r="G431" s="3"/>
      <c r="H431" s="3"/>
      <c r="I431" s="3"/>
      <c r="J431" s="3"/>
    </row>
    <row r="432" spans="5:10" x14ac:dyDescent="0.2">
      <c r="E432" s="56"/>
      <c r="G432" s="3"/>
      <c r="H432" s="3"/>
      <c r="I432" s="3"/>
      <c r="J432" s="3"/>
    </row>
    <row r="433" spans="5:10" x14ac:dyDescent="0.2">
      <c r="E433" s="56"/>
      <c r="G433" s="3"/>
      <c r="H433" s="3"/>
      <c r="I433" s="3"/>
      <c r="J433" s="3"/>
    </row>
    <row r="434" spans="5:10" x14ac:dyDescent="0.2">
      <c r="E434" s="56"/>
      <c r="G434" s="3"/>
      <c r="H434" s="3"/>
      <c r="I434" s="3"/>
      <c r="J434" s="3"/>
    </row>
    <row r="435" spans="5:10" x14ac:dyDescent="0.2">
      <c r="E435" s="56"/>
      <c r="G435" s="3"/>
      <c r="H435" s="3"/>
      <c r="I435" s="3"/>
      <c r="J435" s="3"/>
    </row>
    <row r="436" spans="5:10" x14ac:dyDescent="0.2">
      <c r="E436" s="56"/>
      <c r="G436" s="3"/>
      <c r="H436" s="3"/>
      <c r="I436" s="3"/>
      <c r="J436" s="3"/>
    </row>
    <row r="437" spans="5:10" x14ac:dyDescent="0.2">
      <c r="E437" s="56"/>
      <c r="G437" s="3"/>
      <c r="H437" s="3"/>
      <c r="I437" s="3"/>
      <c r="J437" s="3"/>
    </row>
    <row r="438" spans="5:10" x14ac:dyDescent="0.2">
      <c r="E438" s="56"/>
      <c r="G438" s="3"/>
      <c r="H438" s="3"/>
      <c r="I438" s="3"/>
      <c r="J438" s="3"/>
    </row>
    <row r="439" spans="5:10" x14ac:dyDescent="0.2">
      <c r="E439" s="56"/>
      <c r="G439" s="3"/>
      <c r="H439" s="3"/>
      <c r="I439" s="3"/>
      <c r="J439" s="3"/>
    </row>
    <row r="440" spans="5:10" x14ac:dyDescent="0.2">
      <c r="E440" s="56"/>
      <c r="G440" s="3"/>
      <c r="H440" s="3"/>
      <c r="I440" s="3"/>
      <c r="J440" s="3"/>
    </row>
    <row r="441" spans="5:10" x14ac:dyDescent="0.2">
      <c r="E441" s="56"/>
      <c r="G441" s="3"/>
      <c r="H441" s="3"/>
      <c r="I441" s="3"/>
      <c r="J441" s="3"/>
    </row>
    <row r="442" spans="5:10" x14ac:dyDescent="0.2">
      <c r="E442" s="56"/>
      <c r="G442" s="3"/>
      <c r="H442" s="3"/>
      <c r="I442" s="3"/>
      <c r="J442" s="3"/>
    </row>
    <row r="443" spans="5:10" x14ac:dyDescent="0.2">
      <c r="E443" s="56"/>
      <c r="G443" s="3"/>
      <c r="H443" s="3"/>
      <c r="I443" s="3"/>
      <c r="J443" s="3"/>
    </row>
    <row r="444" spans="5:10" x14ac:dyDescent="0.2">
      <c r="E444" s="56"/>
      <c r="G444" s="3"/>
      <c r="H444" s="3"/>
      <c r="I444" s="3"/>
      <c r="J444" s="3"/>
    </row>
    <row r="445" spans="5:10" x14ac:dyDescent="0.2">
      <c r="E445" s="56"/>
      <c r="G445" s="3"/>
      <c r="H445" s="3"/>
      <c r="I445" s="3"/>
      <c r="J445" s="3"/>
    </row>
    <row r="446" spans="5:10" x14ac:dyDescent="0.2">
      <c r="E446" s="56"/>
      <c r="G446" s="3"/>
      <c r="H446" s="3"/>
      <c r="I446" s="3"/>
      <c r="J446" s="3"/>
    </row>
    <row r="447" spans="5:10" x14ac:dyDescent="0.2">
      <c r="E447" s="56"/>
      <c r="G447" s="3"/>
      <c r="H447" s="3"/>
      <c r="I447" s="3"/>
      <c r="J447" s="3"/>
    </row>
    <row r="448" spans="5:10" x14ac:dyDescent="0.2">
      <c r="E448" s="56"/>
      <c r="G448" s="3"/>
      <c r="H448" s="3"/>
      <c r="I448" s="3"/>
      <c r="J448" s="3"/>
    </row>
    <row r="449" spans="5:10" x14ac:dyDescent="0.2">
      <c r="E449" s="56"/>
      <c r="G449" s="3"/>
      <c r="H449" s="3"/>
      <c r="I449" s="3"/>
      <c r="J449" s="3"/>
    </row>
    <row r="450" spans="5:10" x14ac:dyDescent="0.2">
      <c r="E450" s="56"/>
      <c r="G450" s="3"/>
      <c r="H450" s="3"/>
      <c r="I450" s="3"/>
      <c r="J450" s="3"/>
    </row>
    <row r="451" spans="5:10" x14ac:dyDescent="0.2">
      <c r="E451" s="56"/>
      <c r="G451" s="3"/>
      <c r="H451" s="3"/>
      <c r="I451" s="3"/>
      <c r="J451" s="3"/>
    </row>
    <row r="452" spans="5:10" x14ac:dyDescent="0.2">
      <c r="E452" s="56"/>
      <c r="G452" s="3"/>
      <c r="H452" s="3"/>
      <c r="I452" s="3"/>
      <c r="J452" s="3"/>
    </row>
    <row r="453" spans="5:10" x14ac:dyDescent="0.2">
      <c r="E453" s="56"/>
      <c r="G453" s="3"/>
      <c r="H453" s="3"/>
      <c r="I453" s="3"/>
      <c r="J453" s="3"/>
    </row>
    <row r="454" spans="5:10" x14ac:dyDescent="0.2">
      <c r="E454" s="56"/>
      <c r="G454" s="3"/>
      <c r="H454" s="3"/>
      <c r="I454" s="3"/>
      <c r="J454" s="3"/>
    </row>
    <row r="455" spans="5:10" x14ac:dyDescent="0.2">
      <c r="E455" s="56"/>
      <c r="G455" s="3"/>
      <c r="H455" s="3"/>
      <c r="I455" s="3"/>
      <c r="J455" s="3"/>
    </row>
    <row r="456" spans="5:10" x14ac:dyDescent="0.2">
      <c r="E456" s="56"/>
      <c r="G456" s="3"/>
      <c r="H456" s="3"/>
      <c r="I456" s="3"/>
      <c r="J456" s="3"/>
    </row>
    <row r="457" spans="5:10" x14ac:dyDescent="0.2">
      <c r="E457" s="56"/>
      <c r="G457" s="3"/>
      <c r="H457" s="3"/>
      <c r="I457" s="3"/>
      <c r="J457" s="3"/>
    </row>
    <row r="458" spans="5:10" x14ac:dyDescent="0.2">
      <c r="E458" s="56"/>
      <c r="G458" s="3"/>
      <c r="H458" s="3"/>
      <c r="I458" s="3"/>
      <c r="J458" s="3"/>
    </row>
    <row r="459" spans="5:10" x14ac:dyDescent="0.2">
      <c r="E459" s="56"/>
      <c r="G459" s="3"/>
      <c r="H459" s="3"/>
      <c r="I459" s="3"/>
      <c r="J459" s="3"/>
    </row>
    <row r="460" spans="5:10" x14ac:dyDescent="0.2">
      <c r="E460" s="56"/>
      <c r="G460" s="3"/>
      <c r="H460" s="3"/>
      <c r="I460" s="3"/>
      <c r="J460" s="3"/>
    </row>
    <row r="461" spans="5:10" x14ac:dyDescent="0.2">
      <c r="E461" s="56"/>
      <c r="G461" s="3"/>
      <c r="H461" s="3"/>
      <c r="I461" s="3"/>
      <c r="J461" s="3"/>
    </row>
    <row r="462" spans="5:10" x14ac:dyDescent="0.2">
      <c r="E462" s="56"/>
      <c r="G462" s="3"/>
      <c r="H462" s="3"/>
      <c r="I462" s="3"/>
      <c r="J462" s="3"/>
    </row>
    <row r="463" spans="5:10" x14ac:dyDescent="0.2">
      <c r="E463" s="56"/>
      <c r="G463" s="3"/>
      <c r="H463" s="3"/>
      <c r="I463" s="3"/>
      <c r="J463" s="3"/>
    </row>
    <row r="464" spans="5:10" x14ac:dyDescent="0.2">
      <c r="E464" s="56"/>
      <c r="G464" s="3"/>
      <c r="H464" s="3"/>
      <c r="I464" s="3"/>
      <c r="J464" s="3"/>
    </row>
    <row r="465" spans="5:10" x14ac:dyDescent="0.2">
      <c r="E465" s="56"/>
      <c r="G465" s="3"/>
      <c r="H465" s="3"/>
      <c r="I465" s="3"/>
      <c r="J465" s="3"/>
    </row>
    <row r="466" spans="5:10" x14ac:dyDescent="0.2">
      <c r="E466" s="56"/>
      <c r="G466" s="3"/>
      <c r="H466" s="3"/>
      <c r="I466" s="3"/>
      <c r="J466" s="3"/>
    </row>
    <row r="467" spans="5:10" x14ac:dyDescent="0.2">
      <c r="E467" s="56"/>
      <c r="G467" s="3"/>
      <c r="H467" s="3"/>
      <c r="I467" s="3"/>
      <c r="J467" s="3"/>
    </row>
    <row r="468" spans="5:10" x14ac:dyDescent="0.2">
      <c r="E468" s="56"/>
      <c r="G468" s="3"/>
      <c r="H468" s="3"/>
      <c r="I468" s="3"/>
      <c r="J468" s="3"/>
    </row>
    <row r="469" spans="5:10" x14ac:dyDescent="0.2">
      <c r="E469" s="56"/>
      <c r="G469" s="3"/>
      <c r="H469" s="3"/>
      <c r="I469" s="3"/>
      <c r="J469" s="3"/>
    </row>
    <row r="470" spans="5:10" x14ac:dyDescent="0.2">
      <c r="E470" s="56"/>
      <c r="G470" s="3"/>
      <c r="H470" s="3"/>
      <c r="I470" s="3"/>
      <c r="J470" s="3"/>
    </row>
    <row r="471" spans="5:10" x14ac:dyDescent="0.2">
      <c r="E471" s="56"/>
      <c r="G471" s="3"/>
      <c r="H471" s="3"/>
      <c r="I471" s="3"/>
      <c r="J471" s="3"/>
    </row>
    <row r="472" spans="5:10" x14ac:dyDescent="0.2">
      <c r="E472" s="56"/>
      <c r="G472" s="3"/>
      <c r="H472" s="3"/>
      <c r="I472" s="3"/>
      <c r="J472" s="3"/>
    </row>
    <row r="473" spans="5:10" x14ac:dyDescent="0.2">
      <c r="E473" s="56"/>
      <c r="G473" s="3"/>
      <c r="H473" s="3"/>
      <c r="I473" s="3"/>
      <c r="J473" s="3"/>
    </row>
    <row r="474" spans="5:10" x14ac:dyDescent="0.2">
      <c r="E474" s="56"/>
      <c r="G474" s="3"/>
      <c r="H474" s="3"/>
      <c r="I474" s="3"/>
      <c r="J474" s="3"/>
    </row>
    <row r="475" spans="5:10" x14ac:dyDescent="0.2">
      <c r="E475" s="56"/>
      <c r="G475" s="3"/>
      <c r="H475" s="3"/>
      <c r="I475" s="3"/>
      <c r="J475" s="3"/>
    </row>
    <row r="476" spans="5:10" x14ac:dyDescent="0.2">
      <c r="E476" s="56"/>
      <c r="G476" s="3"/>
      <c r="H476" s="3"/>
      <c r="I476" s="3"/>
      <c r="J476" s="3"/>
    </row>
    <row r="477" spans="5:10" x14ac:dyDescent="0.2">
      <c r="E477" s="56"/>
      <c r="G477" s="3"/>
      <c r="H477" s="3"/>
      <c r="I477" s="3"/>
      <c r="J477" s="3"/>
    </row>
    <row r="478" spans="5:10" x14ac:dyDescent="0.2">
      <c r="E478" s="56"/>
      <c r="G478" s="3"/>
      <c r="H478" s="3"/>
      <c r="I478" s="3"/>
      <c r="J478" s="3"/>
    </row>
    <row r="479" spans="5:10" x14ac:dyDescent="0.2">
      <c r="E479" s="56"/>
      <c r="G479" s="3"/>
      <c r="H479" s="3"/>
      <c r="I479" s="3"/>
      <c r="J479" s="3"/>
    </row>
    <row r="480" spans="5:10" x14ac:dyDescent="0.2">
      <c r="E480" s="56"/>
      <c r="G480" s="3"/>
      <c r="H480" s="3"/>
      <c r="I480" s="3"/>
      <c r="J480" s="3"/>
    </row>
    <row r="481" spans="5:10" x14ac:dyDescent="0.2">
      <c r="E481" s="56"/>
      <c r="G481" s="3"/>
      <c r="H481" s="3"/>
      <c r="I481" s="3"/>
      <c r="J481" s="3"/>
    </row>
    <row r="482" spans="5:10" x14ac:dyDescent="0.2">
      <c r="E482" s="56"/>
      <c r="G482" s="3"/>
      <c r="H482" s="3"/>
      <c r="I482" s="3"/>
      <c r="J482" s="3"/>
    </row>
    <row r="483" spans="5:10" x14ac:dyDescent="0.2">
      <c r="E483" s="56"/>
      <c r="G483" s="3"/>
      <c r="H483" s="3"/>
      <c r="I483" s="3"/>
      <c r="J483" s="3"/>
    </row>
    <row r="484" spans="5:10" x14ac:dyDescent="0.2">
      <c r="E484" s="56"/>
      <c r="G484" s="3"/>
      <c r="H484" s="3"/>
      <c r="I484" s="3"/>
      <c r="J484" s="3"/>
    </row>
    <row r="485" spans="5:10" x14ac:dyDescent="0.2">
      <c r="E485" s="56"/>
      <c r="G485" s="3"/>
      <c r="H485" s="3"/>
      <c r="I485" s="3"/>
      <c r="J485" s="3"/>
    </row>
    <row r="486" spans="5:10" x14ac:dyDescent="0.2">
      <c r="E486" s="56"/>
      <c r="G486" s="3"/>
      <c r="H486" s="3"/>
      <c r="I486" s="3"/>
      <c r="J486" s="3"/>
    </row>
    <row r="487" spans="5:10" x14ac:dyDescent="0.2">
      <c r="E487" s="56"/>
      <c r="G487" s="3"/>
      <c r="H487" s="3"/>
      <c r="I487" s="3"/>
      <c r="J487" s="3"/>
    </row>
    <row r="488" spans="5:10" x14ac:dyDescent="0.2">
      <c r="E488" s="56"/>
      <c r="G488" s="3"/>
      <c r="H488" s="3"/>
      <c r="I488" s="3"/>
      <c r="J488" s="3"/>
    </row>
    <row r="489" spans="5:10" x14ac:dyDescent="0.2">
      <c r="E489" s="56"/>
      <c r="G489" s="3"/>
      <c r="H489" s="3"/>
      <c r="I489" s="3"/>
      <c r="J489" s="3"/>
    </row>
    <row r="490" spans="5:10" x14ac:dyDescent="0.2">
      <c r="E490" s="56"/>
      <c r="G490" s="3"/>
      <c r="H490" s="3"/>
      <c r="I490" s="3"/>
      <c r="J490" s="3"/>
    </row>
    <row r="491" spans="5:10" x14ac:dyDescent="0.2">
      <c r="E491" s="56"/>
      <c r="G491" s="3"/>
      <c r="H491" s="3"/>
      <c r="I491" s="3"/>
      <c r="J491" s="3"/>
    </row>
    <row r="492" spans="5:10" x14ac:dyDescent="0.2">
      <c r="E492" s="56"/>
      <c r="G492" s="3"/>
      <c r="H492" s="3"/>
      <c r="I492" s="3"/>
      <c r="J492" s="3"/>
    </row>
    <row r="493" spans="5:10" x14ac:dyDescent="0.2">
      <c r="E493" s="56"/>
      <c r="G493" s="3"/>
      <c r="H493" s="3"/>
      <c r="I493" s="3"/>
      <c r="J493" s="3"/>
    </row>
    <row r="494" spans="5:10" x14ac:dyDescent="0.2">
      <c r="E494" s="56"/>
      <c r="G494" s="3"/>
      <c r="H494" s="3"/>
      <c r="I494" s="3"/>
      <c r="J494" s="3"/>
    </row>
    <row r="495" spans="5:10" x14ac:dyDescent="0.2">
      <c r="E495" s="56"/>
      <c r="G495" s="3"/>
      <c r="H495" s="3"/>
      <c r="I495" s="3"/>
      <c r="J495" s="3"/>
    </row>
    <row r="496" spans="5:10" x14ac:dyDescent="0.2">
      <c r="E496" s="56"/>
      <c r="G496" s="3"/>
      <c r="H496" s="3"/>
      <c r="I496" s="3"/>
      <c r="J496" s="3"/>
    </row>
    <row r="497" spans="5:10" x14ac:dyDescent="0.2">
      <c r="E497" s="56"/>
      <c r="G497" s="3"/>
      <c r="H497" s="3"/>
      <c r="I497" s="3"/>
      <c r="J497" s="3"/>
    </row>
    <row r="498" spans="5:10" x14ac:dyDescent="0.2">
      <c r="E498" s="56"/>
      <c r="G498" s="3"/>
      <c r="H498" s="3"/>
      <c r="I498" s="3"/>
      <c r="J498" s="3"/>
    </row>
    <row r="499" spans="5:10" x14ac:dyDescent="0.2">
      <c r="E499" s="56"/>
      <c r="G499" s="3"/>
      <c r="H499" s="3"/>
      <c r="I499" s="3"/>
      <c r="J499" s="3"/>
    </row>
    <row r="500" spans="5:10" x14ac:dyDescent="0.2">
      <c r="E500" s="56"/>
      <c r="G500" s="3"/>
      <c r="H500" s="3"/>
      <c r="I500" s="3"/>
      <c r="J500" s="3"/>
    </row>
    <row r="501" spans="5:10" x14ac:dyDescent="0.2">
      <c r="E501" s="56"/>
      <c r="G501" s="3"/>
      <c r="H501" s="3"/>
      <c r="I501" s="3"/>
      <c r="J501" s="3"/>
    </row>
    <row r="502" spans="5:10" x14ac:dyDescent="0.2">
      <c r="E502" s="56"/>
      <c r="G502" s="3"/>
      <c r="H502" s="3"/>
      <c r="I502" s="3"/>
      <c r="J502" s="3"/>
    </row>
    <row r="503" spans="5:10" x14ac:dyDescent="0.2">
      <c r="E503" s="56"/>
      <c r="G503" s="3"/>
      <c r="H503" s="3"/>
      <c r="I503" s="3"/>
      <c r="J503" s="3"/>
    </row>
    <row r="504" spans="5:10" x14ac:dyDescent="0.2">
      <c r="E504" s="56"/>
      <c r="G504" s="3"/>
      <c r="H504" s="3"/>
      <c r="I504" s="3"/>
      <c r="J504" s="3"/>
    </row>
    <row r="505" spans="5:10" x14ac:dyDescent="0.2">
      <c r="E505" s="56"/>
      <c r="G505" s="3"/>
      <c r="H505" s="3"/>
      <c r="I505" s="3"/>
      <c r="J505" s="3"/>
    </row>
    <row r="506" spans="5:10" x14ac:dyDescent="0.2">
      <c r="E506" s="56"/>
      <c r="G506" s="3"/>
      <c r="H506" s="3"/>
      <c r="I506" s="3"/>
      <c r="J506" s="3"/>
    </row>
    <row r="507" spans="5:10" x14ac:dyDescent="0.2">
      <c r="E507" s="56"/>
      <c r="G507" s="3"/>
      <c r="H507" s="3"/>
      <c r="I507" s="3"/>
      <c r="J507" s="3"/>
    </row>
    <row r="508" spans="5:10" x14ac:dyDescent="0.2">
      <c r="E508" s="56"/>
      <c r="G508" s="3"/>
      <c r="H508" s="3"/>
      <c r="I508" s="3"/>
      <c r="J508" s="3"/>
    </row>
    <row r="509" spans="5:10" x14ac:dyDescent="0.2">
      <c r="E509" s="56"/>
      <c r="G509" s="3"/>
      <c r="H509" s="3"/>
      <c r="I509" s="3"/>
      <c r="J509" s="3"/>
    </row>
    <row r="510" spans="5:10" x14ac:dyDescent="0.2">
      <c r="E510" s="56"/>
      <c r="G510" s="3"/>
      <c r="H510" s="3"/>
      <c r="I510" s="3"/>
      <c r="J510" s="3"/>
    </row>
    <row r="511" spans="5:10" x14ac:dyDescent="0.2">
      <c r="E511" s="56"/>
      <c r="G511" s="3"/>
      <c r="H511" s="3"/>
      <c r="I511" s="3"/>
      <c r="J511" s="3"/>
    </row>
    <row r="512" spans="5:10" x14ac:dyDescent="0.2">
      <c r="E512" s="56"/>
      <c r="G512" s="3"/>
      <c r="H512" s="3"/>
      <c r="I512" s="3"/>
      <c r="J512" s="3"/>
    </row>
    <row r="513" spans="5:10" x14ac:dyDescent="0.2">
      <c r="E513" s="56"/>
      <c r="G513" s="3"/>
      <c r="H513" s="3"/>
      <c r="I513" s="3"/>
      <c r="J513" s="3"/>
    </row>
    <row r="514" spans="5:10" x14ac:dyDescent="0.2">
      <c r="E514" s="56"/>
      <c r="G514" s="3"/>
      <c r="H514" s="3"/>
      <c r="I514" s="3"/>
      <c r="J514" s="3"/>
    </row>
    <row r="515" spans="5:10" x14ac:dyDescent="0.2">
      <c r="E515" s="56"/>
      <c r="G515" s="3"/>
      <c r="H515" s="3"/>
      <c r="I515" s="3"/>
      <c r="J515" s="3"/>
    </row>
    <row r="516" spans="5:10" x14ac:dyDescent="0.2">
      <c r="E516" s="56"/>
      <c r="G516" s="3"/>
      <c r="H516" s="3"/>
      <c r="I516" s="3"/>
      <c r="J516" s="3"/>
    </row>
    <row r="517" spans="5:10" x14ac:dyDescent="0.2">
      <c r="E517" s="56"/>
      <c r="G517" s="3"/>
      <c r="H517" s="3"/>
      <c r="I517" s="3"/>
      <c r="J517" s="3"/>
    </row>
    <row r="518" spans="5:10" x14ac:dyDescent="0.2">
      <c r="E518" s="56"/>
      <c r="G518" s="3"/>
      <c r="H518" s="3"/>
      <c r="I518" s="3"/>
      <c r="J518" s="3"/>
    </row>
    <row r="519" spans="5:10" x14ac:dyDescent="0.2">
      <c r="E519" s="56"/>
      <c r="G519" s="3"/>
      <c r="H519" s="3"/>
      <c r="I519" s="3"/>
      <c r="J519" s="3"/>
    </row>
    <row r="520" spans="5:10" x14ac:dyDescent="0.2">
      <c r="E520" s="56"/>
      <c r="G520" s="3"/>
      <c r="H520" s="3"/>
      <c r="I520" s="3"/>
      <c r="J520" s="3"/>
    </row>
    <row r="521" spans="5:10" x14ac:dyDescent="0.2">
      <c r="E521" s="56"/>
      <c r="G521" s="3"/>
      <c r="H521" s="3"/>
      <c r="I521" s="3"/>
      <c r="J521" s="3"/>
    </row>
    <row r="522" spans="5:10" x14ac:dyDescent="0.2">
      <c r="E522" s="56"/>
      <c r="G522" s="3"/>
      <c r="H522" s="3"/>
      <c r="I522" s="3"/>
      <c r="J522" s="3"/>
    </row>
    <row r="523" spans="5:10" x14ac:dyDescent="0.2">
      <c r="E523" s="56"/>
      <c r="G523" s="3"/>
      <c r="H523" s="3"/>
      <c r="I523" s="3"/>
      <c r="J523" s="3"/>
    </row>
    <row r="524" spans="5:10" x14ac:dyDescent="0.2">
      <c r="E524" s="56"/>
      <c r="G524" s="3"/>
      <c r="H524" s="3"/>
      <c r="I524" s="3"/>
      <c r="J524" s="3"/>
    </row>
    <row r="525" spans="5:10" x14ac:dyDescent="0.2">
      <c r="E525" s="56"/>
      <c r="G525" s="3"/>
      <c r="H525" s="3"/>
      <c r="I525" s="3"/>
      <c r="J525" s="3"/>
    </row>
    <row r="526" spans="5:10" x14ac:dyDescent="0.2">
      <c r="E526" s="56"/>
      <c r="G526" s="3"/>
      <c r="H526" s="3"/>
      <c r="I526" s="3"/>
      <c r="J526" s="3"/>
    </row>
    <row r="527" spans="5:10" x14ac:dyDescent="0.2">
      <c r="E527" s="56"/>
      <c r="G527" s="3"/>
      <c r="H527" s="3"/>
      <c r="I527" s="3"/>
      <c r="J527" s="3"/>
    </row>
    <row r="528" spans="5:10" x14ac:dyDescent="0.2">
      <c r="E528" s="56"/>
      <c r="G528" s="3"/>
      <c r="H528" s="3"/>
      <c r="I528" s="3"/>
      <c r="J528" s="3"/>
    </row>
    <row r="529" spans="5:10" x14ac:dyDescent="0.2">
      <c r="E529" s="56"/>
      <c r="G529" s="3"/>
      <c r="H529" s="3"/>
      <c r="I529" s="3"/>
      <c r="J529" s="3"/>
    </row>
    <row r="530" spans="5:10" x14ac:dyDescent="0.2">
      <c r="E530" s="56"/>
      <c r="G530" s="3"/>
      <c r="H530" s="3"/>
      <c r="I530" s="3"/>
      <c r="J530" s="3"/>
    </row>
    <row r="531" spans="5:10" x14ac:dyDescent="0.2">
      <c r="E531" s="56"/>
      <c r="G531" s="3"/>
      <c r="H531" s="3"/>
      <c r="I531" s="3"/>
      <c r="J531" s="3"/>
    </row>
    <row r="532" spans="5:10" x14ac:dyDescent="0.2">
      <c r="E532" s="56"/>
      <c r="G532" s="3"/>
      <c r="H532" s="3"/>
      <c r="I532" s="3"/>
      <c r="J532" s="3"/>
    </row>
    <row r="533" spans="5:10" x14ac:dyDescent="0.2">
      <c r="E533" s="56"/>
      <c r="G533" s="3"/>
      <c r="H533" s="3"/>
      <c r="I533" s="3"/>
      <c r="J533" s="3"/>
    </row>
    <row r="534" spans="5:10" x14ac:dyDescent="0.2">
      <c r="E534" s="56"/>
      <c r="G534" s="3"/>
      <c r="H534" s="3"/>
      <c r="I534" s="3"/>
      <c r="J534" s="3"/>
    </row>
    <row r="535" spans="5:10" x14ac:dyDescent="0.2">
      <c r="E535" s="56"/>
      <c r="G535" s="3"/>
      <c r="H535" s="3"/>
      <c r="I535" s="3"/>
      <c r="J535" s="3"/>
    </row>
    <row r="536" spans="5:10" x14ac:dyDescent="0.2">
      <c r="E536" s="56"/>
      <c r="G536" s="3"/>
      <c r="H536" s="3"/>
      <c r="I536" s="3"/>
      <c r="J536" s="3"/>
    </row>
    <row r="537" spans="5:10" x14ac:dyDescent="0.2">
      <c r="E537" s="56"/>
      <c r="G537" s="3"/>
      <c r="H537" s="3"/>
      <c r="I537" s="3"/>
      <c r="J537" s="3"/>
    </row>
    <row r="538" spans="5:10" x14ac:dyDescent="0.2">
      <c r="E538" s="56"/>
      <c r="G538" s="3"/>
      <c r="H538" s="3"/>
      <c r="I538" s="3"/>
      <c r="J538" s="3"/>
    </row>
    <row r="539" spans="5:10" x14ac:dyDescent="0.2">
      <c r="E539" s="56"/>
      <c r="G539" s="3"/>
      <c r="H539" s="3"/>
      <c r="I539" s="3"/>
      <c r="J539" s="3"/>
    </row>
    <row r="540" spans="5:10" x14ac:dyDescent="0.2">
      <c r="E540" s="56"/>
      <c r="G540" s="3"/>
      <c r="H540" s="3"/>
      <c r="I540" s="3"/>
      <c r="J540" s="3"/>
    </row>
    <row r="541" spans="5:10" x14ac:dyDescent="0.2">
      <c r="E541" s="56"/>
      <c r="G541" s="3"/>
      <c r="H541" s="3"/>
      <c r="I541" s="3"/>
      <c r="J541" s="3"/>
    </row>
    <row r="542" spans="5:10" x14ac:dyDescent="0.2">
      <c r="E542" s="56"/>
      <c r="G542" s="3"/>
      <c r="H542" s="3"/>
      <c r="I542" s="3"/>
      <c r="J542" s="3"/>
    </row>
    <row r="543" spans="5:10" x14ac:dyDescent="0.2">
      <c r="E543" s="56"/>
      <c r="G543" s="3"/>
      <c r="H543" s="3"/>
      <c r="I543" s="3"/>
      <c r="J543" s="3"/>
    </row>
    <row r="544" spans="5:10" x14ac:dyDescent="0.2">
      <c r="E544" s="56"/>
      <c r="G544" s="3"/>
      <c r="H544" s="3"/>
      <c r="I544" s="3"/>
      <c r="J544" s="3"/>
    </row>
    <row r="545" spans="5:10" x14ac:dyDescent="0.2">
      <c r="E545" s="56"/>
      <c r="G545" s="3"/>
      <c r="H545" s="3"/>
      <c r="I545" s="3"/>
      <c r="J545" s="3"/>
    </row>
    <row r="546" spans="5:10" x14ac:dyDescent="0.2">
      <c r="E546" s="56"/>
      <c r="G546" s="3"/>
      <c r="H546" s="3"/>
      <c r="I546" s="3"/>
      <c r="J546" s="3"/>
    </row>
    <row r="547" spans="5:10" x14ac:dyDescent="0.2">
      <c r="E547" s="56"/>
      <c r="G547" s="3"/>
      <c r="H547" s="3"/>
      <c r="I547" s="3"/>
      <c r="J547" s="3"/>
    </row>
    <row r="548" spans="5:10" x14ac:dyDescent="0.2">
      <c r="E548" s="56"/>
      <c r="G548" s="3"/>
      <c r="H548" s="3"/>
      <c r="I548" s="3"/>
      <c r="J548" s="3"/>
    </row>
    <row r="549" spans="5:10" x14ac:dyDescent="0.2">
      <c r="E549" s="56"/>
      <c r="G549" s="3"/>
      <c r="H549" s="3"/>
      <c r="I549" s="3"/>
      <c r="J549" s="3"/>
    </row>
    <row r="550" spans="5:10" x14ac:dyDescent="0.2">
      <c r="E550" s="56"/>
      <c r="G550" s="3"/>
      <c r="H550" s="3"/>
      <c r="I550" s="3"/>
      <c r="J550" s="3"/>
    </row>
    <row r="551" spans="5:10" x14ac:dyDescent="0.2">
      <c r="E551" s="56"/>
      <c r="G551" s="3"/>
      <c r="H551" s="3"/>
      <c r="I551" s="3"/>
      <c r="J551" s="3"/>
    </row>
    <row r="552" spans="5:10" x14ac:dyDescent="0.2">
      <c r="E552" s="56"/>
      <c r="G552" s="3"/>
      <c r="H552" s="3"/>
      <c r="I552" s="3"/>
      <c r="J552" s="3"/>
    </row>
    <row r="553" spans="5:10" x14ac:dyDescent="0.2">
      <c r="E553" s="56"/>
      <c r="G553" s="3"/>
      <c r="H553" s="3"/>
      <c r="I553" s="3"/>
      <c r="J553" s="3"/>
    </row>
    <row r="554" spans="5:10" x14ac:dyDescent="0.2">
      <c r="E554" s="56"/>
      <c r="G554" s="3"/>
      <c r="H554" s="3"/>
      <c r="I554" s="3"/>
      <c r="J554" s="3"/>
    </row>
    <row r="555" spans="5:10" x14ac:dyDescent="0.2">
      <c r="E555" s="56"/>
      <c r="G555" s="3"/>
      <c r="H555" s="3"/>
      <c r="I555" s="3"/>
      <c r="J555" s="3"/>
    </row>
    <row r="556" spans="5:10" x14ac:dyDescent="0.2">
      <c r="E556" s="56"/>
      <c r="G556" s="3"/>
      <c r="H556" s="3"/>
      <c r="I556" s="3"/>
      <c r="J556" s="3"/>
    </row>
    <row r="557" spans="5:10" x14ac:dyDescent="0.2">
      <c r="E557" s="56"/>
      <c r="G557" s="3"/>
      <c r="H557" s="3"/>
      <c r="I557" s="3"/>
      <c r="J557" s="3"/>
    </row>
    <row r="558" spans="5:10" x14ac:dyDescent="0.2">
      <c r="E558" s="56"/>
      <c r="G558" s="3"/>
      <c r="H558" s="3"/>
      <c r="I558" s="3"/>
      <c r="J558" s="3"/>
    </row>
    <row r="559" spans="5:10" x14ac:dyDescent="0.2">
      <c r="E559" s="56"/>
      <c r="G559" s="3"/>
      <c r="H559" s="3"/>
      <c r="I559" s="3"/>
      <c r="J559" s="3"/>
    </row>
    <row r="560" spans="5:10" x14ac:dyDescent="0.2">
      <c r="E560" s="56"/>
      <c r="G560" s="3"/>
      <c r="H560" s="3"/>
      <c r="I560" s="3"/>
      <c r="J560" s="3"/>
    </row>
    <row r="561" spans="5:10" x14ac:dyDescent="0.2">
      <c r="E561" s="56"/>
      <c r="G561" s="3"/>
      <c r="H561" s="3"/>
      <c r="I561" s="3"/>
      <c r="J561" s="3"/>
    </row>
    <row r="562" spans="5:10" x14ac:dyDescent="0.2">
      <c r="E562" s="56"/>
      <c r="G562" s="3"/>
      <c r="H562" s="3"/>
      <c r="I562" s="3"/>
      <c r="J562" s="3"/>
    </row>
    <row r="563" spans="5:10" x14ac:dyDescent="0.2">
      <c r="E563" s="56"/>
      <c r="G563" s="3"/>
      <c r="H563" s="3"/>
      <c r="I563" s="3"/>
      <c r="J563" s="3"/>
    </row>
    <row r="564" spans="5:10" x14ac:dyDescent="0.2">
      <c r="E564" s="56"/>
      <c r="G564" s="3"/>
      <c r="H564" s="3"/>
      <c r="I564" s="3"/>
      <c r="J564" s="3"/>
    </row>
    <row r="565" spans="5:10" x14ac:dyDescent="0.2">
      <c r="E565" s="56"/>
      <c r="G565" s="3"/>
      <c r="H565" s="3"/>
      <c r="I565" s="3"/>
      <c r="J565" s="3"/>
    </row>
    <row r="566" spans="5:10" x14ac:dyDescent="0.2">
      <c r="E566" s="56"/>
      <c r="G566" s="3"/>
      <c r="H566" s="3"/>
      <c r="I566" s="3"/>
      <c r="J566" s="3"/>
    </row>
    <row r="567" spans="5:10" x14ac:dyDescent="0.2">
      <c r="E567" s="56"/>
      <c r="G567" s="3"/>
      <c r="H567" s="3"/>
      <c r="I567" s="3"/>
      <c r="J567" s="3"/>
    </row>
    <row r="568" spans="5:10" x14ac:dyDescent="0.2">
      <c r="E568" s="56"/>
      <c r="G568" s="3"/>
      <c r="H568" s="3"/>
      <c r="I568" s="3"/>
      <c r="J568" s="3"/>
    </row>
    <row r="569" spans="5:10" x14ac:dyDescent="0.2">
      <c r="E569" s="56"/>
      <c r="G569" s="3"/>
      <c r="H569" s="3"/>
      <c r="I569" s="3"/>
      <c r="J569" s="3"/>
    </row>
    <row r="570" spans="5:10" x14ac:dyDescent="0.2">
      <c r="E570" s="56"/>
      <c r="G570" s="3"/>
      <c r="H570" s="3"/>
      <c r="I570" s="3"/>
      <c r="J570" s="3"/>
    </row>
    <row r="571" spans="5:10" x14ac:dyDescent="0.2">
      <c r="E571" s="56"/>
      <c r="G571" s="3"/>
      <c r="H571" s="3"/>
      <c r="I571" s="3"/>
      <c r="J571" s="3"/>
    </row>
    <row r="572" spans="5:10" x14ac:dyDescent="0.2">
      <c r="E572" s="56"/>
      <c r="G572" s="3"/>
      <c r="H572" s="3"/>
      <c r="I572" s="3"/>
      <c r="J572" s="3"/>
    </row>
    <row r="573" spans="5:10" x14ac:dyDescent="0.2">
      <c r="E573" s="56"/>
      <c r="G573" s="3"/>
      <c r="H573" s="3"/>
      <c r="I573" s="3"/>
      <c r="J573" s="3"/>
    </row>
    <row r="574" spans="5:10" x14ac:dyDescent="0.2">
      <c r="E574" s="56"/>
      <c r="G574" s="3"/>
      <c r="H574" s="3"/>
      <c r="I574" s="3"/>
      <c r="J574" s="3"/>
    </row>
    <row r="575" spans="5:10" x14ac:dyDescent="0.2">
      <c r="E575" s="56"/>
      <c r="G575" s="3"/>
      <c r="H575" s="3"/>
      <c r="I575" s="3"/>
      <c r="J575" s="3"/>
    </row>
    <row r="576" spans="5:10" x14ac:dyDescent="0.2">
      <c r="E576" s="56"/>
      <c r="G576" s="3"/>
      <c r="H576" s="3"/>
      <c r="I576" s="3"/>
      <c r="J576" s="3"/>
    </row>
    <row r="577" spans="5:10" x14ac:dyDescent="0.2">
      <c r="E577" s="56"/>
      <c r="G577" s="3"/>
      <c r="H577" s="3"/>
      <c r="I577" s="3"/>
      <c r="J577" s="3"/>
    </row>
    <row r="578" spans="5:10" x14ac:dyDescent="0.2">
      <c r="E578" s="56"/>
      <c r="G578" s="3"/>
      <c r="H578" s="3"/>
      <c r="I578" s="3"/>
      <c r="J578" s="3"/>
    </row>
    <row r="579" spans="5:10" x14ac:dyDescent="0.2">
      <c r="E579" s="56"/>
      <c r="G579" s="3"/>
      <c r="H579" s="3"/>
      <c r="I579" s="3"/>
      <c r="J579" s="3"/>
    </row>
    <row r="580" spans="5:10" x14ac:dyDescent="0.2">
      <c r="E580" s="56"/>
      <c r="G580" s="3"/>
      <c r="H580" s="3"/>
      <c r="I580" s="3"/>
      <c r="J580" s="3"/>
    </row>
    <row r="581" spans="5:10" x14ac:dyDescent="0.2">
      <c r="E581" s="56"/>
      <c r="G581" s="3"/>
      <c r="H581" s="3"/>
      <c r="I581" s="3"/>
      <c r="J581" s="3"/>
    </row>
    <row r="582" spans="5:10" x14ac:dyDescent="0.2">
      <c r="E582" s="56"/>
      <c r="G582" s="3"/>
      <c r="H582" s="3"/>
      <c r="I582" s="3"/>
      <c r="J582" s="3"/>
    </row>
    <row r="583" spans="5:10" x14ac:dyDescent="0.2">
      <c r="E583" s="56"/>
      <c r="G583" s="3"/>
      <c r="H583" s="3"/>
      <c r="I583" s="3"/>
      <c r="J583" s="3"/>
    </row>
    <row r="584" spans="5:10" x14ac:dyDescent="0.2">
      <c r="E584" s="56"/>
      <c r="G584" s="3"/>
      <c r="H584" s="3"/>
      <c r="I584" s="3"/>
      <c r="J584" s="3"/>
    </row>
    <row r="585" spans="5:10" x14ac:dyDescent="0.2">
      <c r="E585" s="56"/>
      <c r="G585" s="3"/>
      <c r="H585" s="3"/>
      <c r="I585" s="3"/>
      <c r="J585" s="3"/>
    </row>
    <row r="586" spans="5:10" x14ac:dyDescent="0.2">
      <c r="E586" s="56"/>
      <c r="G586" s="3"/>
      <c r="H586" s="3"/>
      <c r="I586" s="3"/>
      <c r="J586" s="3"/>
    </row>
    <row r="587" spans="5:10" x14ac:dyDescent="0.2">
      <c r="E587" s="56"/>
      <c r="G587" s="3"/>
      <c r="H587" s="3"/>
      <c r="I587" s="3"/>
      <c r="J587" s="3"/>
    </row>
    <row r="588" spans="5:10" x14ac:dyDescent="0.2">
      <c r="E588" s="56"/>
      <c r="G588" s="3"/>
      <c r="H588" s="3"/>
      <c r="I588" s="3"/>
      <c r="J588" s="3"/>
    </row>
    <row r="589" spans="5:10" x14ac:dyDescent="0.2">
      <c r="E589" s="56"/>
      <c r="G589" s="3"/>
      <c r="H589" s="3"/>
      <c r="I589" s="3"/>
      <c r="J589" s="3"/>
    </row>
    <row r="590" spans="5:10" x14ac:dyDescent="0.2">
      <c r="E590" s="56"/>
      <c r="G590" s="3"/>
      <c r="H590" s="3"/>
      <c r="I590" s="3"/>
      <c r="J590" s="3"/>
    </row>
    <row r="591" spans="5:10" x14ac:dyDescent="0.2">
      <c r="E591" s="56"/>
      <c r="G591" s="3"/>
      <c r="H591" s="3"/>
      <c r="I591" s="3"/>
      <c r="J591" s="3"/>
    </row>
    <row r="592" spans="5:10" x14ac:dyDescent="0.2">
      <c r="E592" s="56"/>
      <c r="G592" s="3"/>
      <c r="H592" s="3"/>
      <c r="I592" s="3"/>
      <c r="J592" s="3"/>
    </row>
    <row r="593" spans="5:10" x14ac:dyDescent="0.2">
      <c r="E593" s="56"/>
      <c r="G593" s="3"/>
      <c r="H593" s="3"/>
      <c r="I593" s="3"/>
      <c r="J593" s="3"/>
    </row>
    <row r="594" spans="5:10" x14ac:dyDescent="0.2">
      <c r="E594" s="56"/>
      <c r="G594" s="3"/>
      <c r="H594" s="3"/>
      <c r="I594" s="3"/>
      <c r="J594" s="3"/>
    </row>
    <row r="595" spans="5:10" x14ac:dyDescent="0.2">
      <c r="E595" s="56"/>
      <c r="G595" s="3"/>
      <c r="H595" s="3"/>
      <c r="I595" s="3"/>
      <c r="J595" s="3"/>
    </row>
    <row r="596" spans="5:10" x14ac:dyDescent="0.2">
      <c r="E596" s="56"/>
      <c r="G596" s="3"/>
      <c r="H596" s="3"/>
      <c r="I596" s="3"/>
      <c r="J596" s="3"/>
    </row>
    <row r="597" spans="5:10" x14ac:dyDescent="0.2">
      <c r="E597" s="56"/>
      <c r="G597" s="3"/>
      <c r="H597" s="3"/>
      <c r="I597" s="3"/>
      <c r="J597" s="3"/>
    </row>
    <row r="598" spans="5:10" x14ac:dyDescent="0.2">
      <c r="E598" s="56"/>
      <c r="G598" s="3"/>
      <c r="H598" s="3"/>
      <c r="I598" s="3"/>
      <c r="J598" s="3"/>
    </row>
    <row r="599" spans="5:10" x14ac:dyDescent="0.2">
      <c r="E599" s="56"/>
      <c r="G599" s="3"/>
      <c r="H599" s="3"/>
      <c r="I599" s="3"/>
      <c r="J599" s="3"/>
    </row>
    <row r="600" spans="5:10" x14ac:dyDescent="0.2">
      <c r="E600" s="56"/>
      <c r="G600" s="3"/>
      <c r="H600" s="3"/>
      <c r="I600" s="3"/>
      <c r="J600" s="3"/>
    </row>
    <row r="601" spans="5:10" x14ac:dyDescent="0.2">
      <c r="E601" s="56"/>
      <c r="G601" s="3"/>
      <c r="H601" s="3"/>
      <c r="I601" s="3"/>
      <c r="J601" s="3"/>
    </row>
    <row r="602" spans="5:10" x14ac:dyDescent="0.2">
      <c r="E602" s="56"/>
      <c r="G602" s="3"/>
      <c r="H602" s="3"/>
      <c r="I602" s="3"/>
      <c r="J602" s="3"/>
    </row>
    <row r="603" spans="5:10" x14ac:dyDescent="0.2">
      <c r="E603" s="56"/>
      <c r="G603" s="3"/>
      <c r="H603" s="3"/>
      <c r="I603" s="3"/>
      <c r="J603" s="3"/>
    </row>
    <row r="604" spans="5:10" x14ac:dyDescent="0.2">
      <c r="E604" s="56"/>
      <c r="G604" s="3"/>
      <c r="H604" s="3"/>
      <c r="I604" s="3"/>
      <c r="J604" s="3"/>
    </row>
    <row r="605" spans="5:10" x14ac:dyDescent="0.2">
      <c r="E605" s="56"/>
      <c r="G605" s="3"/>
      <c r="H605" s="3"/>
      <c r="I605" s="3"/>
      <c r="J605" s="3"/>
    </row>
    <row r="606" spans="5:10" x14ac:dyDescent="0.2">
      <c r="E606" s="56"/>
      <c r="G606" s="3"/>
      <c r="H606" s="3"/>
      <c r="I606" s="3"/>
      <c r="J606" s="3"/>
    </row>
    <row r="607" spans="5:10" x14ac:dyDescent="0.2">
      <c r="E607" s="56"/>
      <c r="G607" s="3"/>
      <c r="H607" s="3"/>
      <c r="I607" s="3"/>
      <c r="J607" s="3"/>
    </row>
    <row r="608" spans="5:10" x14ac:dyDescent="0.2">
      <c r="E608" s="56"/>
      <c r="G608" s="3"/>
      <c r="H608" s="3"/>
      <c r="I608" s="3"/>
      <c r="J608" s="3"/>
    </row>
    <row r="609" spans="5:10" x14ac:dyDescent="0.2">
      <c r="E609" s="56"/>
      <c r="G609" s="3"/>
      <c r="H609" s="3"/>
      <c r="I609" s="3"/>
      <c r="J609" s="3"/>
    </row>
    <row r="610" spans="5:10" x14ac:dyDescent="0.2">
      <c r="E610" s="56"/>
      <c r="G610" s="3"/>
      <c r="H610" s="3"/>
      <c r="I610" s="3"/>
      <c r="J610" s="3"/>
    </row>
    <row r="611" spans="5:10" x14ac:dyDescent="0.2">
      <c r="E611" s="56"/>
      <c r="G611" s="3"/>
      <c r="H611" s="3"/>
      <c r="I611" s="3"/>
      <c r="J611" s="3"/>
    </row>
    <row r="612" spans="5:10" x14ac:dyDescent="0.2">
      <c r="E612" s="56"/>
      <c r="G612" s="3"/>
      <c r="H612" s="3"/>
      <c r="I612" s="3"/>
      <c r="J612" s="3"/>
    </row>
    <row r="613" spans="5:10" x14ac:dyDescent="0.2">
      <c r="E613" s="56"/>
      <c r="G613" s="3"/>
      <c r="H613" s="3"/>
      <c r="I613" s="3"/>
      <c r="J613" s="3"/>
    </row>
    <row r="614" spans="5:10" x14ac:dyDescent="0.2">
      <c r="E614" s="56"/>
      <c r="G614" s="3"/>
      <c r="H614" s="3"/>
      <c r="I614" s="3"/>
      <c r="J614" s="3"/>
    </row>
    <row r="615" spans="5:10" x14ac:dyDescent="0.2">
      <c r="E615" s="56"/>
      <c r="G615" s="3"/>
      <c r="H615" s="3"/>
      <c r="I615" s="3"/>
      <c r="J615" s="3"/>
    </row>
    <row r="616" spans="5:10" x14ac:dyDescent="0.2">
      <c r="E616" s="56"/>
      <c r="G616" s="3"/>
      <c r="H616" s="3"/>
      <c r="I616" s="3"/>
      <c r="J616" s="3"/>
    </row>
    <row r="617" spans="5:10" x14ac:dyDescent="0.2">
      <c r="E617" s="56"/>
      <c r="G617" s="3"/>
      <c r="H617" s="3"/>
      <c r="I617" s="3"/>
      <c r="J617" s="3"/>
    </row>
    <row r="618" spans="5:10" x14ac:dyDescent="0.2">
      <c r="E618" s="56"/>
      <c r="G618" s="3"/>
      <c r="H618" s="3"/>
      <c r="I618" s="3"/>
      <c r="J618" s="3"/>
    </row>
    <row r="619" spans="5:10" x14ac:dyDescent="0.2">
      <c r="E619" s="56"/>
      <c r="G619" s="3"/>
      <c r="H619" s="3"/>
      <c r="I619" s="3"/>
      <c r="J619" s="3"/>
    </row>
    <row r="620" spans="5:10" x14ac:dyDescent="0.2">
      <c r="E620" s="56"/>
      <c r="G620" s="3"/>
      <c r="H620" s="3"/>
      <c r="I620" s="3"/>
      <c r="J620" s="3"/>
    </row>
    <row r="621" spans="5:10" x14ac:dyDescent="0.2">
      <c r="E621" s="56"/>
      <c r="G621" s="3"/>
      <c r="H621" s="3"/>
      <c r="I621" s="3"/>
      <c r="J621" s="3"/>
    </row>
    <row r="622" spans="5:10" x14ac:dyDescent="0.2">
      <c r="E622" s="56"/>
      <c r="G622" s="3"/>
      <c r="H622" s="3"/>
      <c r="I622" s="3"/>
      <c r="J622" s="3"/>
    </row>
    <row r="623" spans="5:10" x14ac:dyDescent="0.2">
      <c r="E623" s="56"/>
      <c r="G623" s="3"/>
      <c r="H623" s="3"/>
      <c r="I623" s="3"/>
      <c r="J623" s="3"/>
    </row>
    <row r="624" spans="5:10" x14ac:dyDescent="0.2">
      <c r="E624" s="56"/>
      <c r="G624" s="3"/>
      <c r="H624" s="3"/>
      <c r="I624" s="3"/>
      <c r="J624" s="3"/>
    </row>
    <row r="625" spans="5:10" x14ac:dyDescent="0.2">
      <c r="E625" s="56"/>
      <c r="G625" s="3"/>
      <c r="H625" s="3"/>
      <c r="I625" s="3"/>
      <c r="J625" s="3"/>
    </row>
    <row r="626" spans="5:10" x14ac:dyDescent="0.2">
      <c r="E626" s="56"/>
      <c r="G626" s="3"/>
      <c r="H626" s="3"/>
      <c r="I626" s="3"/>
      <c r="J626" s="3"/>
    </row>
    <row r="627" spans="5:10" x14ac:dyDescent="0.2">
      <c r="E627" s="56"/>
      <c r="G627" s="3"/>
      <c r="H627" s="3"/>
      <c r="I627" s="3"/>
      <c r="J627" s="3"/>
    </row>
    <row r="628" spans="5:10" x14ac:dyDescent="0.2">
      <c r="E628" s="56"/>
      <c r="G628" s="3"/>
      <c r="H628" s="3"/>
      <c r="I628" s="3"/>
      <c r="J628" s="3"/>
    </row>
    <row r="629" spans="5:10" x14ac:dyDescent="0.2">
      <c r="E629" s="56"/>
      <c r="G629" s="3"/>
      <c r="H629" s="3"/>
      <c r="I629" s="3"/>
      <c r="J629" s="3"/>
    </row>
    <row r="630" spans="5:10" x14ac:dyDescent="0.2">
      <c r="E630" s="56"/>
      <c r="G630" s="3"/>
      <c r="H630" s="3"/>
      <c r="I630" s="3"/>
      <c r="J630" s="3"/>
    </row>
    <row r="631" spans="5:10" x14ac:dyDescent="0.2">
      <c r="E631" s="56"/>
      <c r="G631" s="3"/>
      <c r="H631" s="3"/>
      <c r="I631" s="3"/>
      <c r="J631" s="3"/>
    </row>
    <row r="632" spans="5:10" x14ac:dyDescent="0.2">
      <c r="E632" s="56"/>
      <c r="G632" s="3"/>
      <c r="H632" s="3"/>
      <c r="I632" s="3"/>
      <c r="J632" s="3"/>
    </row>
    <row r="633" spans="5:10" x14ac:dyDescent="0.2">
      <c r="E633" s="56"/>
      <c r="G633" s="3"/>
      <c r="H633" s="3"/>
      <c r="I633" s="3"/>
      <c r="J633" s="3"/>
    </row>
    <row r="634" spans="5:10" x14ac:dyDescent="0.2">
      <c r="E634" s="56"/>
      <c r="G634" s="3"/>
      <c r="H634" s="3"/>
      <c r="I634" s="3"/>
      <c r="J634" s="3"/>
    </row>
    <row r="635" spans="5:10" x14ac:dyDescent="0.2">
      <c r="E635" s="56"/>
      <c r="G635" s="3"/>
      <c r="H635" s="3"/>
      <c r="I635" s="3"/>
      <c r="J635" s="3"/>
    </row>
    <row r="636" spans="5:10" x14ac:dyDescent="0.2">
      <c r="E636" s="56"/>
      <c r="G636" s="3"/>
      <c r="H636" s="3"/>
      <c r="I636" s="3"/>
      <c r="J636" s="3"/>
    </row>
    <row r="637" spans="5:10" x14ac:dyDescent="0.2">
      <c r="E637" s="56"/>
      <c r="G637" s="3"/>
      <c r="H637" s="3"/>
      <c r="I637" s="3"/>
      <c r="J637" s="3"/>
    </row>
    <row r="638" spans="5:10" x14ac:dyDescent="0.2">
      <c r="E638" s="56"/>
      <c r="G638" s="3"/>
      <c r="H638" s="3"/>
      <c r="I638" s="3"/>
      <c r="J638" s="3"/>
    </row>
    <row r="639" spans="5:10" x14ac:dyDescent="0.2">
      <c r="E639" s="56"/>
      <c r="G639" s="3"/>
      <c r="H639" s="3"/>
      <c r="I639" s="3"/>
      <c r="J639" s="3"/>
    </row>
    <row r="640" spans="5:10" x14ac:dyDescent="0.2">
      <c r="E640" s="56"/>
      <c r="G640" s="3"/>
      <c r="H640" s="3"/>
      <c r="I640" s="3"/>
      <c r="J640" s="3"/>
    </row>
    <row r="641" spans="5:10" x14ac:dyDescent="0.2">
      <c r="E641" s="56"/>
      <c r="G641" s="3"/>
      <c r="H641" s="3"/>
      <c r="I641" s="3"/>
      <c r="J641" s="3"/>
    </row>
    <row r="642" spans="5:10" x14ac:dyDescent="0.2">
      <c r="E642" s="56"/>
      <c r="G642" s="3"/>
      <c r="H642" s="3"/>
      <c r="I642" s="3"/>
      <c r="J642" s="3"/>
    </row>
    <row r="643" spans="5:10" x14ac:dyDescent="0.2">
      <c r="E643" s="56"/>
      <c r="G643" s="3"/>
      <c r="H643" s="3"/>
      <c r="I643" s="3"/>
      <c r="J643" s="3"/>
    </row>
    <row r="644" spans="5:10" x14ac:dyDescent="0.2">
      <c r="E644" s="56"/>
      <c r="G644" s="3"/>
      <c r="H644" s="3"/>
      <c r="I644" s="3"/>
      <c r="J644" s="3"/>
    </row>
    <row r="645" spans="5:10" x14ac:dyDescent="0.2">
      <c r="E645" s="56"/>
      <c r="G645" s="3"/>
      <c r="H645" s="3"/>
      <c r="I645" s="3"/>
      <c r="J645" s="3"/>
    </row>
    <row r="646" spans="5:10" x14ac:dyDescent="0.2">
      <c r="E646" s="56"/>
      <c r="G646" s="3"/>
      <c r="H646" s="3"/>
      <c r="I646" s="3"/>
      <c r="J646" s="3"/>
    </row>
    <row r="647" spans="5:10" x14ac:dyDescent="0.2">
      <c r="E647" s="56"/>
      <c r="G647" s="3"/>
      <c r="H647" s="3"/>
      <c r="I647" s="3"/>
      <c r="J647" s="3"/>
    </row>
    <row r="648" spans="5:10" x14ac:dyDescent="0.2">
      <c r="E648" s="56"/>
      <c r="G648" s="3"/>
      <c r="H648" s="3"/>
      <c r="I648" s="3"/>
      <c r="J648" s="3"/>
    </row>
    <row r="649" spans="5:10" x14ac:dyDescent="0.2">
      <c r="E649" s="56"/>
      <c r="G649" s="3"/>
      <c r="H649" s="3"/>
      <c r="I649" s="3"/>
      <c r="J649" s="3"/>
    </row>
    <row r="650" spans="5:10" x14ac:dyDescent="0.2">
      <c r="E650" s="56"/>
      <c r="G650" s="3"/>
      <c r="H650" s="3"/>
      <c r="I650" s="3"/>
      <c r="J650" s="3"/>
    </row>
    <row r="651" spans="5:10" x14ac:dyDescent="0.2">
      <c r="E651" s="56"/>
      <c r="G651" s="3"/>
      <c r="H651" s="3"/>
      <c r="I651" s="3"/>
      <c r="J651" s="3"/>
    </row>
    <row r="652" spans="5:10" x14ac:dyDescent="0.2">
      <c r="E652" s="56"/>
      <c r="G652" s="3"/>
      <c r="H652" s="3"/>
      <c r="I652" s="3"/>
      <c r="J652" s="3"/>
    </row>
    <row r="653" spans="5:10" x14ac:dyDescent="0.2">
      <c r="E653" s="56"/>
      <c r="G653" s="3"/>
      <c r="H653" s="3"/>
      <c r="I653" s="3"/>
      <c r="J653" s="3"/>
    </row>
    <row r="654" spans="5:10" x14ac:dyDescent="0.2">
      <c r="E654" s="56"/>
      <c r="G654" s="3"/>
      <c r="H654" s="3"/>
      <c r="I654" s="3"/>
      <c r="J654" s="3"/>
    </row>
    <row r="655" spans="5:10" x14ac:dyDescent="0.2">
      <c r="E655" s="56"/>
      <c r="G655" s="3"/>
      <c r="H655" s="3"/>
      <c r="I655" s="3"/>
      <c r="J655" s="3"/>
    </row>
    <row r="656" spans="5:10" x14ac:dyDescent="0.2">
      <c r="E656" s="56"/>
      <c r="G656" s="3"/>
      <c r="H656" s="3"/>
      <c r="I656" s="3"/>
      <c r="J656" s="3"/>
    </row>
    <row r="657" spans="5:10" x14ac:dyDescent="0.2">
      <c r="E657" s="56"/>
      <c r="G657" s="3"/>
      <c r="H657" s="3"/>
      <c r="I657" s="3"/>
      <c r="J657" s="3"/>
    </row>
    <row r="658" spans="5:10" x14ac:dyDescent="0.2">
      <c r="E658" s="56"/>
      <c r="G658" s="3"/>
      <c r="H658" s="3"/>
      <c r="I658" s="3"/>
      <c r="J658" s="3"/>
    </row>
    <row r="659" spans="5:10" x14ac:dyDescent="0.2">
      <c r="E659" s="56"/>
      <c r="G659" s="3"/>
      <c r="H659" s="3"/>
      <c r="I659" s="3"/>
      <c r="J659" s="3"/>
    </row>
    <row r="660" spans="5:10" x14ac:dyDescent="0.2">
      <c r="E660" s="56"/>
      <c r="G660" s="3"/>
      <c r="H660" s="3"/>
      <c r="I660" s="3"/>
      <c r="J660" s="3"/>
    </row>
    <row r="661" spans="5:10" x14ac:dyDescent="0.2">
      <c r="E661" s="56"/>
      <c r="G661" s="3"/>
      <c r="H661" s="3"/>
      <c r="I661" s="3"/>
      <c r="J661" s="3"/>
    </row>
    <row r="662" spans="5:10" x14ac:dyDescent="0.2">
      <c r="E662" s="56"/>
      <c r="G662" s="3"/>
      <c r="H662" s="3"/>
      <c r="I662" s="3"/>
      <c r="J662" s="3"/>
    </row>
    <row r="663" spans="5:10" x14ac:dyDescent="0.2">
      <c r="E663" s="56"/>
      <c r="G663" s="3"/>
      <c r="H663" s="3"/>
      <c r="I663" s="3"/>
      <c r="J663" s="3"/>
    </row>
    <row r="664" spans="5:10" x14ac:dyDescent="0.2">
      <c r="E664" s="56"/>
      <c r="G664" s="3"/>
      <c r="H664" s="3"/>
      <c r="I664" s="3"/>
      <c r="J664" s="3"/>
    </row>
    <row r="665" spans="5:10" x14ac:dyDescent="0.2">
      <c r="E665" s="56"/>
      <c r="G665" s="3"/>
      <c r="H665" s="3"/>
      <c r="I665" s="3"/>
      <c r="J665" s="3"/>
    </row>
    <row r="666" spans="5:10" x14ac:dyDescent="0.2">
      <c r="E666" s="56"/>
      <c r="G666" s="3"/>
      <c r="H666" s="3"/>
      <c r="I666" s="3"/>
      <c r="J666" s="3"/>
    </row>
    <row r="667" spans="5:10" x14ac:dyDescent="0.2">
      <c r="E667" s="56"/>
      <c r="G667" s="3"/>
      <c r="H667" s="3"/>
      <c r="I667" s="3"/>
      <c r="J667" s="3"/>
    </row>
    <row r="668" spans="5:10" x14ac:dyDescent="0.2">
      <c r="E668" s="56"/>
      <c r="G668" s="3"/>
      <c r="H668" s="3"/>
      <c r="I668" s="3"/>
      <c r="J668" s="3"/>
    </row>
    <row r="669" spans="5:10" x14ac:dyDescent="0.2">
      <c r="E669" s="56"/>
      <c r="G669" s="3"/>
      <c r="H669" s="3"/>
      <c r="I669" s="3"/>
      <c r="J669" s="3"/>
    </row>
    <row r="670" spans="5:10" x14ac:dyDescent="0.2">
      <c r="E670" s="56"/>
      <c r="G670" s="3"/>
      <c r="H670" s="3"/>
      <c r="I670" s="3"/>
      <c r="J670" s="3"/>
    </row>
    <row r="671" spans="5:10" x14ac:dyDescent="0.2">
      <c r="E671" s="56"/>
      <c r="G671" s="3"/>
      <c r="H671" s="3"/>
      <c r="I671" s="3"/>
      <c r="J671" s="3"/>
    </row>
    <row r="672" spans="5:10" x14ac:dyDescent="0.2">
      <c r="E672" s="56"/>
      <c r="G672" s="3"/>
      <c r="H672" s="3"/>
      <c r="I672" s="3"/>
      <c r="J672" s="3"/>
    </row>
    <row r="673" spans="5:10" x14ac:dyDescent="0.2">
      <c r="E673" s="56"/>
      <c r="G673" s="3"/>
      <c r="H673" s="3"/>
      <c r="I673" s="3"/>
      <c r="J673" s="3"/>
    </row>
    <row r="674" spans="5:10" x14ac:dyDescent="0.2">
      <c r="E674" s="56"/>
      <c r="G674" s="3"/>
      <c r="H674" s="3"/>
      <c r="I674" s="3"/>
      <c r="J674" s="3"/>
    </row>
    <row r="675" spans="5:10" x14ac:dyDescent="0.2">
      <c r="E675" s="56"/>
      <c r="G675" s="3"/>
      <c r="H675" s="3"/>
      <c r="I675" s="3"/>
      <c r="J675" s="3"/>
    </row>
    <row r="676" spans="5:10" x14ac:dyDescent="0.2">
      <c r="E676" s="56"/>
      <c r="G676" s="3"/>
      <c r="H676" s="3"/>
      <c r="I676" s="3"/>
      <c r="J676" s="3"/>
    </row>
    <row r="677" spans="5:10" x14ac:dyDescent="0.2">
      <c r="E677" s="56"/>
      <c r="G677" s="3"/>
      <c r="H677" s="3"/>
      <c r="I677" s="3"/>
      <c r="J677" s="3"/>
    </row>
    <row r="678" spans="5:10" x14ac:dyDescent="0.2">
      <c r="E678" s="56"/>
      <c r="G678" s="3"/>
      <c r="H678" s="3"/>
      <c r="I678" s="3"/>
      <c r="J678" s="3"/>
    </row>
    <row r="679" spans="5:10" x14ac:dyDescent="0.2">
      <c r="E679" s="56"/>
      <c r="G679" s="3"/>
      <c r="H679" s="3"/>
      <c r="I679" s="3"/>
      <c r="J679" s="3"/>
    </row>
    <row r="680" spans="5:10" x14ac:dyDescent="0.2">
      <c r="E680" s="56"/>
      <c r="G680" s="3"/>
      <c r="H680" s="3"/>
      <c r="I680" s="3"/>
      <c r="J680" s="3"/>
    </row>
    <row r="681" spans="5:10" x14ac:dyDescent="0.2">
      <c r="E681" s="56"/>
      <c r="G681" s="3"/>
      <c r="H681" s="3"/>
      <c r="I681" s="3"/>
      <c r="J681" s="3"/>
    </row>
    <row r="682" spans="5:10" x14ac:dyDescent="0.2">
      <c r="E682" s="56"/>
      <c r="G682" s="3"/>
      <c r="H682" s="3"/>
      <c r="I682" s="3"/>
      <c r="J682" s="3"/>
    </row>
    <row r="683" spans="5:10" x14ac:dyDescent="0.2">
      <c r="E683" s="56"/>
      <c r="G683" s="3"/>
      <c r="H683" s="3"/>
      <c r="I683" s="3"/>
      <c r="J683" s="3"/>
    </row>
    <row r="684" spans="5:10" x14ac:dyDescent="0.2">
      <c r="E684" s="56"/>
      <c r="G684" s="3"/>
      <c r="H684" s="3"/>
      <c r="I684" s="3"/>
      <c r="J684" s="3"/>
    </row>
    <row r="685" spans="5:10" x14ac:dyDescent="0.2">
      <c r="E685" s="56"/>
      <c r="G685" s="3"/>
      <c r="H685" s="3"/>
      <c r="I685" s="3"/>
      <c r="J685" s="3"/>
    </row>
    <row r="686" spans="5:10" x14ac:dyDescent="0.2">
      <c r="E686" s="56"/>
      <c r="G686" s="3"/>
      <c r="H686" s="3"/>
      <c r="I686" s="3"/>
      <c r="J686" s="3"/>
    </row>
    <row r="687" spans="5:10" x14ac:dyDescent="0.2">
      <c r="E687" s="56"/>
      <c r="G687" s="3"/>
      <c r="H687" s="3"/>
      <c r="I687" s="3"/>
      <c r="J687" s="3"/>
    </row>
    <row r="688" spans="5:10" x14ac:dyDescent="0.2">
      <c r="E688" s="56"/>
      <c r="G688" s="3"/>
      <c r="H688" s="3"/>
      <c r="I688" s="3"/>
      <c r="J688" s="3"/>
    </row>
    <row r="689" spans="5:10" x14ac:dyDescent="0.2">
      <c r="E689" s="56"/>
      <c r="G689" s="3"/>
      <c r="H689" s="3"/>
      <c r="I689" s="3"/>
      <c r="J689" s="3"/>
    </row>
    <row r="690" spans="5:10" x14ac:dyDescent="0.2">
      <c r="E690" s="56"/>
      <c r="G690" s="3"/>
      <c r="H690" s="3"/>
      <c r="I690" s="3"/>
      <c r="J690" s="3"/>
    </row>
    <row r="691" spans="5:10" x14ac:dyDescent="0.2">
      <c r="E691" s="56"/>
      <c r="G691" s="3"/>
      <c r="H691" s="3"/>
      <c r="I691" s="3"/>
      <c r="J691" s="3"/>
    </row>
    <row r="692" spans="5:10" x14ac:dyDescent="0.2">
      <c r="E692" s="56"/>
      <c r="G692" s="3"/>
      <c r="H692" s="3"/>
      <c r="I692" s="3"/>
      <c r="J692" s="3"/>
    </row>
    <row r="693" spans="5:10" x14ac:dyDescent="0.2">
      <c r="E693" s="56"/>
      <c r="G693" s="3"/>
      <c r="H693" s="3"/>
      <c r="I693" s="3"/>
      <c r="J693" s="3"/>
    </row>
    <row r="694" spans="5:10" x14ac:dyDescent="0.2">
      <c r="E694" s="56"/>
      <c r="G694" s="3"/>
      <c r="H694" s="3"/>
      <c r="I694" s="3"/>
      <c r="J694" s="3"/>
    </row>
    <row r="695" spans="5:10" x14ac:dyDescent="0.2">
      <c r="E695" s="56"/>
      <c r="G695" s="3"/>
      <c r="H695" s="3"/>
      <c r="I695" s="3"/>
      <c r="J695" s="3"/>
    </row>
    <row r="696" spans="5:10" x14ac:dyDescent="0.2">
      <c r="E696" s="56"/>
      <c r="G696" s="3"/>
      <c r="H696" s="3"/>
      <c r="I696" s="3"/>
      <c r="J696" s="3"/>
    </row>
    <row r="697" spans="5:10" x14ac:dyDescent="0.2">
      <c r="E697" s="56"/>
      <c r="G697" s="3"/>
      <c r="H697" s="3"/>
      <c r="I697" s="3"/>
      <c r="J697" s="3"/>
    </row>
    <row r="698" spans="5:10" x14ac:dyDescent="0.2">
      <c r="E698" s="56"/>
      <c r="G698" s="3"/>
      <c r="H698" s="3"/>
      <c r="I698" s="3"/>
      <c r="J698" s="3"/>
    </row>
    <row r="699" spans="5:10" x14ac:dyDescent="0.2">
      <c r="E699" s="56"/>
      <c r="G699" s="3"/>
      <c r="H699" s="3"/>
      <c r="I699" s="3"/>
      <c r="J699" s="3"/>
    </row>
    <row r="700" spans="5:10" x14ac:dyDescent="0.2">
      <c r="E700" s="56"/>
      <c r="G700" s="3"/>
      <c r="H700" s="3"/>
      <c r="I700" s="3"/>
      <c r="J700" s="3"/>
    </row>
    <row r="701" spans="5:10" x14ac:dyDescent="0.2">
      <c r="E701" s="56"/>
      <c r="G701" s="3"/>
      <c r="H701" s="3"/>
      <c r="I701" s="3"/>
      <c r="J701" s="3"/>
    </row>
    <row r="702" spans="5:10" x14ac:dyDescent="0.2">
      <c r="E702" s="56"/>
      <c r="G702" s="3"/>
      <c r="H702" s="3"/>
      <c r="I702" s="3"/>
      <c r="J702" s="3"/>
    </row>
    <row r="703" spans="5:10" x14ac:dyDescent="0.2">
      <c r="E703" s="56"/>
      <c r="G703" s="3"/>
      <c r="H703" s="3"/>
      <c r="I703" s="3"/>
      <c r="J703" s="3"/>
    </row>
    <row r="704" spans="5:10" x14ac:dyDescent="0.2">
      <c r="E704" s="56"/>
      <c r="G704" s="3"/>
      <c r="H704" s="3"/>
      <c r="I704" s="3"/>
      <c r="J704" s="3"/>
    </row>
    <row r="705" spans="5:10" x14ac:dyDescent="0.2">
      <c r="E705" s="56"/>
      <c r="G705" s="3"/>
      <c r="H705" s="3"/>
      <c r="I705" s="3"/>
      <c r="J705" s="3"/>
    </row>
    <row r="706" spans="5:10" x14ac:dyDescent="0.2">
      <c r="E706" s="56"/>
      <c r="G706" s="3"/>
      <c r="H706" s="3"/>
      <c r="I706" s="3"/>
      <c r="J706" s="3"/>
    </row>
    <row r="707" spans="5:10" x14ac:dyDescent="0.2">
      <c r="E707" s="56"/>
      <c r="G707" s="3"/>
      <c r="H707" s="3"/>
      <c r="I707" s="3"/>
      <c r="J707" s="3"/>
    </row>
    <row r="708" spans="5:10" x14ac:dyDescent="0.2">
      <c r="E708" s="56"/>
      <c r="G708" s="3"/>
      <c r="H708" s="3"/>
      <c r="I708" s="3"/>
      <c r="J708" s="3"/>
    </row>
    <row r="709" spans="5:10" x14ac:dyDescent="0.2">
      <c r="E709" s="56"/>
      <c r="G709" s="3"/>
      <c r="H709" s="3"/>
      <c r="I709" s="3"/>
      <c r="J709" s="3"/>
    </row>
    <row r="710" spans="5:10" x14ac:dyDescent="0.2">
      <c r="E710" s="56"/>
      <c r="G710" s="3"/>
      <c r="H710" s="3"/>
      <c r="I710" s="3"/>
      <c r="J710" s="3"/>
    </row>
    <row r="711" spans="5:10" x14ac:dyDescent="0.2">
      <c r="E711" s="56"/>
      <c r="G711" s="3"/>
      <c r="H711" s="3"/>
      <c r="I711" s="3"/>
      <c r="J711" s="3"/>
    </row>
    <row r="712" spans="5:10" x14ac:dyDescent="0.2">
      <c r="E712" s="56"/>
      <c r="G712" s="3"/>
      <c r="H712" s="3"/>
      <c r="I712" s="3"/>
      <c r="J712" s="3"/>
    </row>
    <row r="713" spans="5:10" x14ac:dyDescent="0.2">
      <c r="E713" s="56"/>
      <c r="G713" s="3"/>
      <c r="H713" s="3"/>
      <c r="I713" s="3"/>
      <c r="J713" s="3"/>
    </row>
    <row r="714" spans="5:10" x14ac:dyDescent="0.2">
      <c r="E714" s="56"/>
      <c r="G714" s="3"/>
      <c r="H714" s="3"/>
      <c r="I714" s="3"/>
      <c r="J714" s="3"/>
    </row>
    <row r="715" spans="5:10" x14ac:dyDescent="0.2">
      <c r="E715" s="56"/>
      <c r="G715" s="3"/>
      <c r="H715" s="3"/>
      <c r="I715" s="3"/>
      <c r="J715" s="3"/>
    </row>
    <row r="716" spans="5:10" x14ac:dyDescent="0.2">
      <c r="E716" s="56"/>
      <c r="G716" s="3"/>
      <c r="H716" s="3"/>
      <c r="I716" s="3"/>
      <c r="J716" s="3"/>
    </row>
    <row r="717" spans="5:10" x14ac:dyDescent="0.2">
      <c r="E717" s="56"/>
      <c r="G717" s="3"/>
      <c r="H717" s="3"/>
      <c r="I717" s="3"/>
      <c r="J717" s="3"/>
    </row>
    <row r="718" spans="5:10" x14ac:dyDescent="0.2">
      <c r="E718" s="56"/>
      <c r="G718" s="3"/>
      <c r="H718" s="3"/>
      <c r="I718" s="3"/>
      <c r="J718" s="3"/>
    </row>
    <row r="719" spans="5:10" x14ac:dyDescent="0.2">
      <c r="E719" s="56"/>
      <c r="G719" s="3"/>
      <c r="H719" s="3"/>
      <c r="I719" s="3"/>
      <c r="J719" s="3"/>
    </row>
    <row r="720" spans="5:10" x14ac:dyDescent="0.2">
      <c r="E720" s="56"/>
      <c r="G720" s="3"/>
      <c r="H720" s="3"/>
      <c r="I720" s="3"/>
      <c r="J720" s="3"/>
    </row>
    <row r="721" spans="5:10" x14ac:dyDescent="0.2">
      <c r="E721" s="56"/>
      <c r="G721" s="3"/>
      <c r="H721" s="3"/>
      <c r="I721" s="3"/>
      <c r="J721" s="3"/>
    </row>
    <row r="722" spans="5:10" x14ac:dyDescent="0.2">
      <c r="E722" s="56"/>
      <c r="G722" s="3"/>
      <c r="H722" s="3"/>
      <c r="I722" s="3"/>
      <c r="J722" s="3"/>
    </row>
    <row r="723" spans="5:10" x14ac:dyDescent="0.2">
      <c r="E723" s="56"/>
      <c r="G723" s="3"/>
      <c r="H723" s="3"/>
      <c r="I723" s="3"/>
      <c r="J723" s="3"/>
    </row>
    <row r="724" spans="5:10" x14ac:dyDescent="0.2">
      <c r="E724" s="56"/>
      <c r="G724" s="3"/>
      <c r="H724" s="3"/>
      <c r="I724" s="3"/>
      <c r="J724" s="3"/>
    </row>
    <row r="725" spans="5:10" x14ac:dyDescent="0.2">
      <c r="E725" s="56"/>
      <c r="G725" s="3"/>
      <c r="H725" s="3"/>
      <c r="I725" s="3"/>
      <c r="J725" s="3"/>
    </row>
    <row r="726" spans="5:10" x14ac:dyDescent="0.2">
      <c r="E726" s="56"/>
      <c r="G726" s="3"/>
      <c r="H726" s="3"/>
      <c r="I726" s="3"/>
      <c r="J726" s="3"/>
    </row>
    <row r="727" spans="5:10" x14ac:dyDescent="0.2">
      <c r="E727" s="56"/>
      <c r="G727" s="3"/>
      <c r="H727" s="3"/>
      <c r="I727" s="3"/>
      <c r="J727" s="3"/>
    </row>
    <row r="728" spans="5:10" x14ac:dyDescent="0.2">
      <c r="E728" s="56"/>
      <c r="G728" s="3"/>
      <c r="H728" s="3"/>
      <c r="I728" s="3"/>
      <c r="J728" s="3"/>
    </row>
    <row r="729" spans="5:10" x14ac:dyDescent="0.2">
      <c r="E729" s="56"/>
      <c r="G729" s="3"/>
      <c r="H729" s="3"/>
      <c r="I729" s="3"/>
      <c r="J729" s="3"/>
    </row>
    <row r="730" spans="5:10" x14ac:dyDescent="0.2">
      <c r="E730" s="56"/>
      <c r="G730" s="3"/>
      <c r="H730" s="3"/>
      <c r="I730" s="3"/>
      <c r="J730" s="3"/>
    </row>
    <row r="731" spans="5:10" x14ac:dyDescent="0.2">
      <c r="E731" s="56"/>
      <c r="G731" s="3"/>
      <c r="H731" s="3"/>
      <c r="I731" s="3"/>
      <c r="J731" s="3"/>
    </row>
    <row r="732" spans="5:10" x14ac:dyDescent="0.2">
      <c r="E732" s="56"/>
      <c r="G732" s="3"/>
      <c r="H732" s="3"/>
      <c r="I732" s="3"/>
      <c r="J732" s="3"/>
    </row>
    <row r="733" spans="5:10" x14ac:dyDescent="0.2">
      <c r="E733" s="56"/>
      <c r="G733" s="3"/>
      <c r="H733" s="3"/>
      <c r="I733" s="3"/>
      <c r="J733" s="3"/>
    </row>
    <row r="734" spans="5:10" x14ac:dyDescent="0.2">
      <c r="E734" s="56"/>
      <c r="G734" s="3"/>
      <c r="H734" s="3"/>
      <c r="I734" s="3"/>
      <c r="J734" s="3"/>
    </row>
    <row r="735" spans="5:10" x14ac:dyDescent="0.2">
      <c r="E735" s="56"/>
      <c r="G735" s="3"/>
      <c r="H735" s="3"/>
      <c r="I735" s="3"/>
      <c r="J735" s="3"/>
    </row>
    <row r="736" spans="5:10" x14ac:dyDescent="0.2">
      <c r="E736" s="56"/>
      <c r="G736" s="3"/>
      <c r="H736" s="3"/>
      <c r="I736" s="3"/>
      <c r="J736" s="3"/>
    </row>
    <row r="737" spans="5:10" x14ac:dyDescent="0.2">
      <c r="E737" s="56"/>
      <c r="G737" s="3"/>
      <c r="H737" s="3"/>
      <c r="I737" s="3"/>
      <c r="J737" s="3"/>
    </row>
    <row r="738" spans="5:10" x14ac:dyDescent="0.2">
      <c r="E738" s="56"/>
      <c r="G738" s="3"/>
      <c r="H738" s="3"/>
      <c r="I738" s="3"/>
      <c r="J738" s="3"/>
    </row>
    <row r="739" spans="5:10" x14ac:dyDescent="0.2">
      <c r="E739" s="56"/>
      <c r="G739" s="3"/>
      <c r="H739" s="3"/>
      <c r="I739" s="3"/>
      <c r="J739" s="3"/>
    </row>
    <row r="740" spans="5:10" x14ac:dyDescent="0.2">
      <c r="E740" s="56"/>
      <c r="G740" s="3"/>
      <c r="H740" s="3"/>
      <c r="I740" s="3"/>
      <c r="J740" s="3"/>
    </row>
    <row r="741" spans="5:10" x14ac:dyDescent="0.2">
      <c r="E741" s="56"/>
      <c r="G741" s="3"/>
      <c r="H741" s="3"/>
      <c r="I741" s="3"/>
      <c r="J741" s="3"/>
    </row>
    <row r="742" spans="5:10" x14ac:dyDescent="0.2">
      <c r="E742" s="56"/>
      <c r="G742" s="3"/>
      <c r="H742" s="3"/>
      <c r="I742" s="3"/>
      <c r="J742" s="3"/>
    </row>
    <row r="743" spans="5:10" x14ac:dyDescent="0.2">
      <c r="E743" s="56"/>
      <c r="G743" s="3"/>
      <c r="H743" s="3"/>
      <c r="I743" s="3"/>
      <c r="J743" s="3"/>
    </row>
    <row r="744" spans="5:10" x14ac:dyDescent="0.2">
      <c r="E744" s="56"/>
      <c r="G744" s="3"/>
      <c r="H744" s="3"/>
      <c r="I744" s="3"/>
      <c r="J744" s="3"/>
    </row>
    <row r="745" spans="5:10" x14ac:dyDescent="0.2">
      <c r="E745" s="56"/>
      <c r="G745" s="3"/>
      <c r="H745" s="3"/>
      <c r="I745" s="3"/>
      <c r="J745" s="3"/>
    </row>
    <row r="746" spans="5:10" x14ac:dyDescent="0.2">
      <c r="E746" s="56"/>
      <c r="G746" s="3"/>
      <c r="H746" s="3"/>
      <c r="I746" s="3"/>
      <c r="J746" s="3"/>
    </row>
    <row r="747" spans="5:10" x14ac:dyDescent="0.2">
      <c r="E747" s="56"/>
      <c r="G747" s="3"/>
      <c r="H747" s="3"/>
      <c r="I747" s="3"/>
      <c r="J747" s="3"/>
    </row>
    <row r="748" spans="5:10" x14ac:dyDescent="0.2">
      <c r="E748" s="56"/>
      <c r="G748" s="3"/>
      <c r="H748" s="3"/>
      <c r="I748" s="3"/>
      <c r="J748" s="3"/>
    </row>
    <row r="749" spans="5:10" x14ac:dyDescent="0.2">
      <c r="E749" s="56"/>
      <c r="G749" s="3"/>
      <c r="H749" s="3"/>
      <c r="I749" s="3"/>
      <c r="J749" s="3"/>
    </row>
    <row r="750" spans="5:10" x14ac:dyDescent="0.2">
      <c r="E750" s="56"/>
      <c r="G750" s="3"/>
      <c r="H750" s="3"/>
      <c r="I750" s="3"/>
      <c r="J750" s="3"/>
    </row>
    <row r="751" spans="5:10" x14ac:dyDescent="0.2">
      <c r="E751" s="56"/>
      <c r="G751" s="3"/>
      <c r="H751" s="3"/>
      <c r="I751" s="3"/>
      <c r="J751" s="3"/>
    </row>
    <row r="752" spans="5:10" x14ac:dyDescent="0.2">
      <c r="E752" s="56"/>
      <c r="G752" s="3"/>
      <c r="H752" s="3"/>
      <c r="I752" s="3"/>
      <c r="J752" s="3"/>
    </row>
    <row r="753" spans="5:10" x14ac:dyDescent="0.2">
      <c r="E753" s="56"/>
      <c r="G753" s="3"/>
      <c r="H753" s="3"/>
      <c r="I753" s="3"/>
      <c r="J753" s="3"/>
    </row>
    <row r="754" spans="5:10" x14ac:dyDescent="0.2">
      <c r="E754" s="56"/>
      <c r="G754" s="3"/>
      <c r="H754" s="3"/>
      <c r="I754" s="3"/>
      <c r="J754" s="3"/>
    </row>
    <row r="755" spans="5:10" x14ac:dyDescent="0.2">
      <c r="E755" s="56"/>
      <c r="G755" s="3"/>
      <c r="H755" s="3"/>
      <c r="I755" s="3"/>
      <c r="J755" s="3"/>
    </row>
    <row r="756" spans="5:10" x14ac:dyDescent="0.2">
      <c r="E756" s="56"/>
      <c r="G756" s="3"/>
      <c r="H756" s="3"/>
      <c r="I756" s="3"/>
      <c r="J756" s="3"/>
    </row>
    <row r="757" spans="5:10" x14ac:dyDescent="0.2">
      <c r="E757" s="56"/>
      <c r="G757" s="3"/>
      <c r="H757" s="3"/>
      <c r="I757" s="3"/>
      <c r="J757" s="3"/>
    </row>
    <row r="758" spans="5:10" x14ac:dyDescent="0.2">
      <c r="E758" s="56"/>
      <c r="G758" s="3"/>
      <c r="H758" s="3"/>
      <c r="I758" s="3"/>
      <c r="J758" s="3"/>
    </row>
    <row r="759" spans="5:10" x14ac:dyDescent="0.2">
      <c r="E759" s="56"/>
      <c r="G759" s="3"/>
      <c r="H759" s="3"/>
      <c r="I759" s="3"/>
      <c r="J759" s="3"/>
    </row>
    <row r="760" spans="5:10" x14ac:dyDescent="0.2">
      <c r="E760" s="56"/>
      <c r="G760" s="3"/>
      <c r="H760" s="3"/>
      <c r="I760" s="3"/>
      <c r="J760" s="3"/>
    </row>
    <row r="761" spans="5:10" x14ac:dyDescent="0.2">
      <c r="E761" s="56"/>
      <c r="G761" s="3"/>
      <c r="H761" s="3"/>
      <c r="I761" s="3"/>
      <c r="J761" s="3"/>
    </row>
    <row r="762" spans="5:10" x14ac:dyDescent="0.2">
      <c r="E762" s="56"/>
      <c r="G762" s="3"/>
      <c r="H762" s="3"/>
      <c r="I762" s="3"/>
      <c r="J762" s="3"/>
    </row>
    <row r="763" spans="5:10" x14ac:dyDescent="0.2">
      <c r="E763" s="56"/>
      <c r="G763" s="3"/>
      <c r="H763" s="3"/>
      <c r="I763" s="3"/>
      <c r="J763" s="3"/>
    </row>
    <row r="764" spans="5:10" x14ac:dyDescent="0.2">
      <c r="E764" s="56"/>
      <c r="G764" s="3"/>
      <c r="H764" s="3"/>
      <c r="I764" s="3"/>
      <c r="J764" s="3"/>
    </row>
    <row r="765" spans="5:10" x14ac:dyDescent="0.2">
      <c r="E765" s="56"/>
      <c r="G765" s="3"/>
      <c r="H765" s="3"/>
      <c r="I765" s="3"/>
      <c r="J765" s="3"/>
    </row>
    <row r="766" spans="5:10" x14ac:dyDescent="0.2">
      <c r="E766" s="56"/>
      <c r="G766" s="3"/>
      <c r="H766" s="3"/>
      <c r="I766" s="3"/>
      <c r="J766" s="3"/>
    </row>
    <row r="767" spans="5:10" x14ac:dyDescent="0.2">
      <c r="E767" s="56"/>
      <c r="G767" s="3"/>
      <c r="H767" s="3"/>
      <c r="I767" s="3"/>
      <c r="J767" s="3"/>
    </row>
    <row r="768" spans="5:10" x14ac:dyDescent="0.2">
      <c r="E768" s="56"/>
      <c r="G768" s="3"/>
      <c r="H768" s="3"/>
      <c r="I768" s="3"/>
      <c r="J768" s="3"/>
    </row>
    <row r="769" spans="5:10" x14ac:dyDescent="0.2">
      <c r="E769" s="56"/>
      <c r="G769" s="3"/>
      <c r="H769" s="3"/>
      <c r="I769" s="3"/>
      <c r="J769" s="3"/>
    </row>
    <row r="770" spans="5:10" x14ac:dyDescent="0.2">
      <c r="E770" s="56"/>
      <c r="G770" s="3"/>
      <c r="H770" s="3"/>
      <c r="I770" s="3"/>
      <c r="J770" s="3"/>
    </row>
    <row r="771" spans="5:10" x14ac:dyDescent="0.2">
      <c r="E771" s="56"/>
      <c r="G771" s="3"/>
      <c r="H771" s="3"/>
      <c r="I771" s="3"/>
      <c r="J771" s="3"/>
    </row>
    <row r="772" spans="5:10" x14ac:dyDescent="0.2">
      <c r="E772" s="56"/>
      <c r="G772" s="3"/>
      <c r="H772" s="3"/>
      <c r="I772" s="3"/>
      <c r="J772" s="3"/>
    </row>
    <row r="773" spans="5:10" x14ac:dyDescent="0.2">
      <c r="E773" s="56"/>
      <c r="G773" s="3"/>
      <c r="H773" s="3"/>
      <c r="I773" s="3"/>
      <c r="J773" s="3"/>
    </row>
    <row r="774" spans="5:10" x14ac:dyDescent="0.2">
      <c r="E774" s="56"/>
      <c r="G774" s="3"/>
      <c r="H774" s="3"/>
      <c r="I774" s="3"/>
      <c r="J774" s="3"/>
    </row>
    <row r="775" spans="5:10" x14ac:dyDescent="0.2">
      <c r="E775" s="56"/>
      <c r="G775" s="3"/>
      <c r="H775" s="3"/>
      <c r="I775" s="3"/>
      <c r="J775" s="3"/>
    </row>
    <row r="776" spans="5:10" x14ac:dyDescent="0.2">
      <c r="E776" s="56"/>
      <c r="G776" s="3"/>
      <c r="H776" s="3"/>
      <c r="I776" s="3"/>
      <c r="J776" s="3"/>
    </row>
    <row r="777" spans="5:10" x14ac:dyDescent="0.2">
      <c r="E777" s="56"/>
      <c r="G777" s="3"/>
      <c r="H777" s="3"/>
      <c r="I777" s="3"/>
      <c r="J777" s="3"/>
    </row>
    <row r="778" spans="5:10" x14ac:dyDescent="0.2">
      <c r="E778" s="56"/>
      <c r="G778" s="3"/>
      <c r="H778" s="3"/>
      <c r="I778" s="3"/>
      <c r="J778" s="3"/>
    </row>
    <row r="779" spans="5:10" x14ac:dyDescent="0.2">
      <c r="E779" s="56"/>
      <c r="G779" s="3"/>
      <c r="H779" s="3"/>
      <c r="I779" s="3"/>
      <c r="J779" s="3"/>
    </row>
    <row r="780" spans="5:10" x14ac:dyDescent="0.2">
      <c r="E780" s="56"/>
      <c r="G780" s="3"/>
      <c r="H780" s="3"/>
      <c r="I780" s="3"/>
      <c r="J780" s="3"/>
    </row>
    <row r="781" spans="5:10" x14ac:dyDescent="0.2">
      <c r="E781" s="56"/>
      <c r="G781" s="3"/>
      <c r="H781" s="3"/>
      <c r="I781" s="3"/>
      <c r="J781" s="3"/>
    </row>
    <row r="782" spans="5:10" x14ac:dyDescent="0.2">
      <c r="E782" s="56"/>
      <c r="G782" s="3"/>
      <c r="H782" s="3"/>
      <c r="I782" s="3"/>
      <c r="J782" s="3"/>
    </row>
    <row r="783" spans="5:10" x14ac:dyDescent="0.2">
      <c r="E783" s="56"/>
      <c r="G783" s="3"/>
      <c r="H783" s="3"/>
      <c r="I783" s="3"/>
      <c r="J783" s="3"/>
    </row>
    <row r="784" spans="5:10" x14ac:dyDescent="0.2">
      <c r="E784" s="56"/>
      <c r="G784" s="3"/>
      <c r="H784" s="3"/>
      <c r="I784" s="3"/>
      <c r="J784" s="3"/>
    </row>
    <row r="785" spans="5:10" x14ac:dyDescent="0.2">
      <c r="E785" s="56"/>
      <c r="G785" s="3"/>
      <c r="H785" s="3"/>
      <c r="I785" s="3"/>
      <c r="J785" s="3"/>
    </row>
    <row r="786" spans="5:10" x14ac:dyDescent="0.2">
      <c r="E786" s="56"/>
      <c r="G786" s="3"/>
      <c r="H786" s="3"/>
      <c r="I786" s="3"/>
      <c r="J786" s="3"/>
    </row>
    <row r="787" spans="5:10" x14ac:dyDescent="0.2">
      <c r="E787" s="56"/>
      <c r="G787" s="3"/>
      <c r="H787" s="3"/>
      <c r="I787" s="3"/>
      <c r="J787" s="3"/>
    </row>
    <row r="788" spans="5:10" x14ac:dyDescent="0.2">
      <c r="E788" s="56"/>
      <c r="G788" s="3"/>
      <c r="H788" s="3"/>
      <c r="I788" s="3"/>
      <c r="J788" s="3"/>
    </row>
    <row r="789" spans="5:10" x14ac:dyDescent="0.2">
      <c r="E789" s="56"/>
      <c r="G789" s="3"/>
      <c r="H789" s="3"/>
      <c r="I789" s="3"/>
      <c r="J789" s="3"/>
    </row>
    <row r="790" spans="5:10" x14ac:dyDescent="0.2">
      <c r="E790" s="56"/>
      <c r="G790" s="3"/>
      <c r="H790" s="3"/>
      <c r="I790" s="3"/>
      <c r="J790" s="3"/>
    </row>
    <row r="791" spans="5:10" x14ac:dyDescent="0.2">
      <c r="E791" s="56"/>
      <c r="G791" s="3"/>
      <c r="H791" s="3"/>
      <c r="I791" s="3"/>
      <c r="J791" s="3"/>
    </row>
    <row r="792" spans="5:10" x14ac:dyDescent="0.2">
      <c r="E792" s="56"/>
      <c r="G792" s="3"/>
      <c r="H792" s="3"/>
      <c r="I792" s="3"/>
      <c r="J792" s="3"/>
    </row>
    <row r="793" spans="5:10" x14ac:dyDescent="0.2">
      <c r="E793" s="56"/>
      <c r="G793" s="3"/>
      <c r="H793" s="3"/>
      <c r="I793" s="3"/>
      <c r="J793" s="3"/>
    </row>
    <row r="794" spans="5:10" x14ac:dyDescent="0.2">
      <c r="E794" s="56"/>
      <c r="G794" s="3"/>
      <c r="H794" s="3"/>
      <c r="I794" s="3"/>
      <c r="J794" s="3"/>
    </row>
    <row r="795" spans="5:10" x14ac:dyDescent="0.2">
      <c r="E795" s="56"/>
      <c r="G795" s="3"/>
      <c r="H795" s="3"/>
      <c r="I795" s="3"/>
      <c r="J795" s="3"/>
    </row>
    <row r="796" spans="5:10" x14ac:dyDescent="0.2">
      <c r="E796" s="56"/>
      <c r="G796" s="3"/>
      <c r="H796" s="3"/>
      <c r="I796" s="3"/>
      <c r="J796" s="3"/>
    </row>
    <row r="797" spans="5:10" x14ac:dyDescent="0.2">
      <c r="E797" s="56"/>
      <c r="G797" s="3"/>
      <c r="H797" s="3"/>
      <c r="I797" s="3"/>
      <c r="J797" s="3"/>
    </row>
    <row r="798" spans="5:10" x14ac:dyDescent="0.2">
      <c r="E798" s="56"/>
      <c r="G798" s="3"/>
      <c r="H798" s="3"/>
      <c r="I798" s="3"/>
      <c r="J798" s="3"/>
    </row>
    <row r="799" spans="5:10" x14ac:dyDescent="0.2">
      <c r="E799" s="56"/>
      <c r="G799" s="3"/>
      <c r="H799" s="3"/>
      <c r="I799" s="3"/>
      <c r="J799" s="3"/>
    </row>
    <row r="800" spans="5:10" x14ac:dyDescent="0.2">
      <c r="E800" s="56"/>
      <c r="G800" s="3"/>
      <c r="H800" s="3"/>
      <c r="I800" s="3"/>
      <c r="J800" s="3"/>
    </row>
    <row r="801" spans="5:10" x14ac:dyDescent="0.2">
      <c r="E801" s="56"/>
      <c r="G801" s="3"/>
      <c r="H801" s="3"/>
      <c r="I801" s="3"/>
      <c r="J801" s="3"/>
    </row>
    <row r="802" spans="5:10" x14ac:dyDescent="0.2">
      <c r="E802" s="56"/>
      <c r="G802" s="3"/>
      <c r="H802" s="3"/>
      <c r="I802" s="3"/>
      <c r="J802" s="3"/>
    </row>
    <row r="803" spans="5:10" x14ac:dyDescent="0.2">
      <c r="E803" s="56"/>
      <c r="G803" s="3"/>
      <c r="H803" s="3"/>
      <c r="I803" s="3"/>
      <c r="J803" s="3"/>
    </row>
    <row r="804" spans="5:10" x14ac:dyDescent="0.2">
      <c r="E804" s="56"/>
      <c r="G804" s="3"/>
      <c r="H804" s="3"/>
      <c r="I804" s="3"/>
      <c r="J804" s="3"/>
    </row>
    <row r="805" spans="5:10" x14ac:dyDescent="0.2">
      <c r="E805" s="56"/>
      <c r="G805" s="3"/>
      <c r="H805" s="3"/>
      <c r="I805" s="3"/>
      <c r="J805" s="3"/>
    </row>
    <row r="806" spans="5:10" x14ac:dyDescent="0.2">
      <c r="E806" s="56"/>
      <c r="G806" s="3"/>
      <c r="H806" s="3"/>
      <c r="I806" s="3"/>
      <c r="J806" s="3"/>
    </row>
    <row r="807" spans="5:10" x14ac:dyDescent="0.2">
      <c r="E807" s="56"/>
      <c r="G807" s="3"/>
      <c r="H807" s="3"/>
      <c r="I807" s="3"/>
      <c r="J807" s="3"/>
    </row>
    <row r="808" spans="5:10" x14ac:dyDescent="0.2">
      <c r="E808" s="56"/>
      <c r="G808" s="3"/>
      <c r="H808" s="3"/>
      <c r="I808" s="3"/>
      <c r="J808" s="3"/>
    </row>
    <row r="809" spans="5:10" x14ac:dyDescent="0.2">
      <c r="E809" s="56"/>
      <c r="G809" s="3"/>
      <c r="H809" s="3"/>
      <c r="I809" s="3"/>
      <c r="J809" s="3"/>
    </row>
    <row r="810" spans="5:10" x14ac:dyDescent="0.2">
      <c r="E810" s="56"/>
      <c r="G810" s="3"/>
      <c r="H810" s="3"/>
      <c r="I810" s="3"/>
      <c r="J810" s="3"/>
    </row>
    <row r="811" spans="5:10" x14ac:dyDescent="0.2">
      <c r="E811" s="56"/>
      <c r="G811" s="3"/>
      <c r="H811" s="3"/>
      <c r="I811" s="3"/>
      <c r="J811" s="3"/>
    </row>
    <row r="812" spans="5:10" x14ac:dyDescent="0.2">
      <c r="E812" s="56"/>
      <c r="G812" s="3"/>
      <c r="H812" s="3"/>
      <c r="I812" s="3"/>
      <c r="J812" s="3"/>
    </row>
    <row r="813" spans="5:10" x14ac:dyDescent="0.2">
      <c r="E813" s="56"/>
      <c r="G813" s="3"/>
      <c r="H813" s="3"/>
      <c r="I813" s="3"/>
      <c r="J813" s="3"/>
    </row>
    <row r="814" spans="5:10" x14ac:dyDescent="0.2">
      <c r="E814" s="56"/>
      <c r="G814" s="3"/>
      <c r="H814" s="3"/>
      <c r="I814" s="3"/>
      <c r="J814" s="3"/>
    </row>
    <row r="815" spans="5:10" x14ac:dyDescent="0.2">
      <c r="E815" s="56"/>
      <c r="G815" s="3"/>
      <c r="H815" s="3"/>
      <c r="I815" s="3"/>
      <c r="J815" s="3"/>
    </row>
    <row r="816" spans="5:10" x14ac:dyDescent="0.2">
      <c r="E816" s="56"/>
      <c r="G816" s="3"/>
      <c r="H816" s="3"/>
      <c r="I816" s="3"/>
      <c r="J816" s="3"/>
    </row>
    <row r="817" spans="5:10" x14ac:dyDescent="0.2">
      <c r="E817" s="56"/>
      <c r="G817" s="3"/>
      <c r="H817" s="3"/>
      <c r="I817" s="3"/>
      <c r="J817" s="3"/>
    </row>
    <row r="818" spans="5:10" x14ac:dyDescent="0.2">
      <c r="E818" s="56"/>
      <c r="G818" s="3"/>
      <c r="H818" s="3"/>
      <c r="I818" s="3"/>
      <c r="J818" s="3"/>
    </row>
    <row r="819" spans="5:10" x14ac:dyDescent="0.2">
      <c r="E819" s="56"/>
      <c r="G819" s="3"/>
      <c r="H819" s="3"/>
      <c r="I819" s="3"/>
      <c r="J819" s="3"/>
    </row>
    <row r="820" spans="5:10" x14ac:dyDescent="0.2">
      <c r="E820" s="56"/>
      <c r="G820" s="3"/>
      <c r="H820" s="3"/>
      <c r="I820" s="3"/>
      <c r="J820" s="3"/>
    </row>
    <row r="821" spans="5:10" x14ac:dyDescent="0.2">
      <c r="E821" s="56"/>
      <c r="G821" s="3"/>
      <c r="H821" s="3"/>
      <c r="I821" s="3"/>
      <c r="J821" s="3"/>
    </row>
    <row r="822" spans="5:10" x14ac:dyDescent="0.2">
      <c r="E822" s="56"/>
      <c r="G822" s="3"/>
      <c r="H822" s="3"/>
      <c r="I822" s="3"/>
      <c r="J822" s="3"/>
    </row>
    <row r="823" spans="5:10" x14ac:dyDescent="0.2">
      <c r="E823" s="56"/>
      <c r="G823" s="3"/>
      <c r="H823" s="3"/>
      <c r="I823" s="3"/>
      <c r="J823" s="3"/>
    </row>
    <row r="824" spans="5:10" x14ac:dyDescent="0.2">
      <c r="E824" s="56"/>
      <c r="G824" s="3"/>
      <c r="H824" s="3"/>
      <c r="I824" s="3"/>
      <c r="J824" s="3"/>
    </row>
    <row r="825" spans="5:10" x14ac:dyDescent="0.2">
      <c r="E825" s="56"/>
      <c r="G825" s="3"/>
      <c r="H825" s="3"/>
      <c r="I825" s="3"/>
      <c r="J825" s="3"/>
    </row>
    <row r="826" spans="5:10" x14ac:dyDescent="0.2">
      <c r="E826" s="56"/>
      <c r="G826" s="3"/>
      <c r="H826" s="3"/>
      <c r="I826" s="3"/>
      <c r="J826" s="3"/>
    </row>
    <row r="827" spans="5:10" x14ac:dyDescent="0.2">
      <c r="E827" s="56"/>
      <c r="G827" s="3"/>
      <c r="H827" s="3"/>
      <c r="I827" s="3"/>
      <c r="J827" s="3"/>
    </row>
    <row r="828" spans="5:10" x14ac:dyDescent="0.2">
      <c r="E828" s="56"/>
      <c r="G828" s="3"/>
      <c r="H828" s="3"/>
      <c r="I828" s="3"/>
      <c r="J828" s="3"/>
    </row>
    <row r="829" spans="5:10" x14ac:dyDescent="0.2">
      <c r="E829" s="56"/>
      <c r="G829" s="3"/>
      <c r="H829" s="3"/>
      <c r="I829" s="3"/>
      <c r="J829" s="3"/>
    </row>
    <row r="830" spans="5:10" x14ac:dyDescent="0.2">
      <c r="E830" s="56"/>
      <c r="G830" s="3"/>
      <c r="H830" s="3"/>
      <c r="I830" s="3"/>
      <c r="J830" s="3"/>
    </row>
    <row r="831" spans="5:10" x14ac:dyDescent="0.2">
      <c r="E831" s="56"/>
      <c r="G831" s="3"/>
      <c r="H831" s="3"/>
      <c r="I831" s="3"/>
      <c r="J831" s="3"/>
    </row>
    <row r="832" spans="5:10" x14ac:dyDescent="0.2">
      <c r="E832" s="56"/>
      <c r="G832" s="3"/>
      <c r="H832" s="3"/>
      <c r="I832" s="3"/>
      <c r="J832" s="3"/>
    </row>
    <row r="833" spans="5:10" x14ac:dyDescent="0.2">
      <c r="E833" s="56"/>
      <c r="G833" s="3"/>
      <c r="H833" s="3"/>
      <c r="I833" s="3"/>
      <c r="J833" s="3"/>
    </row>
    <row r="834" spans="5:10" x14ac:dyDescent="0.2">
      <c r="E834" s="56"/>
      <c r="G834" s="3"/>
      <c r="H834" s="3"/>
      <c r="I834" s="3"/>
      <c r="J834" s="3"/>
    </row>
    <row r="835" spans="5:10" x14ac:dyDescent="0.2">
      <c r="E835" s="56"/>
      <c r="G835" s="3"/>
      <c r="H835" s="3"/>
      <c r="I835" s="3"/>
      <c r="J835" s="3"/>
    </row>
    <row r="836" spans="5:10" x14ac:dyDescent="0.2">
      <c r="E836" s="56"/>
      <c r="G836" s="3"/>
      <c r="H836" s="3"/>
      <c r="I836" s="3"/>
      <c r="J836" s="3"/>
    </row>
    <row r="837" spans="5:10" x14ac:dyDescent="0.2">
      <c r="E837" s="56"/>
      <c r="G837" s="3"/>
      <c r="H837" s="3"/>
      <c r="I837" s="3"/>
      <c r="J837" s="3"/>
    </row>
    <row r="838" spans="5:10" x14ac:dyDescent="0.2">
      <c r="E838" s="56"/>
      <c r="G838" s="3"/>
      <c r="H838" s="3"/>
      <c r="I838" s="3"/>
      <c r="J838" s="3"/>
    </row>
    <row r="839" spans="5:10" x14ac:dyDescent="0.2">
      <c r="E839" s="56"/>
      <c r="G839" s="3"/>
      <c r="H839" s="3"/>
      <c r="I839" s="3"/>
      <c r="J839" s="3"/>
    </row>
    <row r="840" spans="5:10" x14ac:dyDescent="0.2">
      <c r="E840" s="56"/>
      <c r="G840" s="3"/>
      <c r="H840" s="3"/>
      <c r="I840" s="3"/>
      <c r="J840" s="3"/>
    </row>
    <row r="841" spans="5:10" x14ac:dyDescent="0.2">
      <c r="E841" s="56"/>
      <c r="G841" s="3"/>
      <c r="H841" s="3"/>
      <c r="I841" s="3"/>
      <c r="J841" s="3"/>
    </row>
    <row r="842" spans="5:10" x14ac:dyDescent="0.2">
      <c r="E842" s="56"/>
      <c r="G842" s="3"/>
      <c r="H842" s="3"/>
      <c r="I842" s="3"/>
      <c r="J842" s="3"/>
    </row>
    <row r="843" spans="5:10" x14ac:dyDescent="0.2">
      <c r="E843" s="56"/>
      <c r="G843" s="3"/>
      <c r="H843" s="3"/>
      <c r="I843" s="3"/>
      <c r="J843" s="3"/>
    </row>
    <row r="844" spans="5:10" x14ac:dyDescent="0.2">
      <c r="E844" s="56"/>
      <c r="G844" s="3"/>
      <c r="H844" s="3"/>
      <c r="I844" s="3"/>
      <c r="J844" s="3"/>
    </row>
    <row r="845" spans="5:10" x14ac:dyDescent="0.2">
      <c r="E845" s="56"/>
      <c r="G845" s="3"/>
      <c r="H845" s="3"/>
      <c r="I845" s="3"/>
      <c r="J845" s="3"/>
    </row>
    <row r="846" spans="5:10" x14ac:dyDescent="0.2">
      <c r="E846" s="56"/>
      <c r="G846" s="3"/>
      <c r="H846" s="3"/>
      <c r="I846" s="3"/>
      <c r="J846" s="3"/>
    </row>
    <row r="847" spans="5:10" x14ac:dyDescent="0.2">
      <c r="E847" s="56"/>
      <c r="G847" s="3"/>
      <c r="H847" s="3"/>
      <c r="I847" s="3"/>
      <c r="J847" s="3"/>
    </row>
    <row r="848" spans="5:10" x14ac:dyDescent="0.2">
      <c r="E848" s="56"/>
      <c r="G848" s="3"/>
      <c r="H848" s="3"/>
      <c r="I848" s="3"/>
      <c r="J848" s="3"/>
    </row>
    <row r="849" spans="5:10" x14ac:dyDescent="0.2">
      <c r="E849" s="56"/>
      <c r="G849" s="3"/>
      <c r="H849" s="3"/>
      <c r="I849" s="3"/>
      <c r="J849" s="3"/>
    </row>
    <row r="850" spans="5:10" x14ac:dyDescent="0.2">
      <c r="E850" s="56"/>
      <c r="G850" s="3"/>
      <c r="H850" s="3"/>
      <c r="I850" s="3"/>
      <c r="J850" s="3"/>
    </row>
    <row r="851" spans="5:10" x14ac:dyDescent="0.2">
      <c r="E851" s="56"/>
      <c r="G851" s="3"/>
      <c r="H851" s="3"/>
      <c r="I851" s="3"/>
      <c r="J851" s="3"/>
    </row>
    <row r="852" spans="5:10" x14ac:dyDescent="0.2">
      <c r="E852" s="56"/>
      <c r="G852" s="3"/>
      <c r="H852" s="3"/>
      <c r="I852" s="3"/>
      <c r="J852" s="3"/>
    </row>
    <row r="853" spans="5:10" x14ac:dyDescent="0.2">
      <c r="E853" s="56"/>
      <c r="G853" s="3"/>
      <c r="H853" s="3"/>
      <c r="I853" s="3"/>
      <c r="J853" s="3"/>
    </row>
    <row r="854" spans="5:10" x14ac:dyDescent="0.2">
      <c r="E854" s="56"/>
      <c r="G854" s="3"/>
      <c r="H854" s="3"/>
      <c r="I854" s="3"/>
      <c r="J854" s="3"/>
    </row>
    <row r="855" spans="5:10" x14ac:dyDescent="0.2">
      <c r="E855" s="56"/>
      <c r="G855" s="3"/>
      <c r="H855" s="3"/>
      <c r="I855" s="3"/>
      <c r="J855" s="3"/>
    </row>
    <row r="856" spans="5:10" x14ac:dyDescent="0.2">
      <c r="E856" s="56"/>
      <c r="G856" s="3"/>
      <c r="H856" s="3"/>
      <c r="I856" s="3"/>
      <c r="J856" s="3"/>
    </row>
    <row r="857" spans="5:10" x14ac:dyDescent="0.2">
      <c r="E857" s="56"/>
      <c r="G857" s="3"/>
      <c r="H857" s="3"/>
      <c r="I857" s="3"/>
      <c r="J857" s="3"/>
    </row>
    <row r="858" spans="5:10" x14ac:dyDescent="0.2">
      <c r="E858" s="56"/>
      <c r="G858" s="3"/>
      <c r="H858" s="3"/>
      <c r="I858" s="3"/>
      <c r="J858" s="3"/>
    </row>
    <row r="859" spans="5:10" x14ac:dyDescent="0.2">
      <c r="E859" s="56"/>
      <c r="G859" s="3"/>
      <c r="H859" s="3"/>
      <c r="I859" s="3"/>
      <c r="J859" s="3"/>
    </row>
    <row r="860" spans="5:10" x14ac:dyDescent="0.2">
      <c r="E860" s="56"/>
      <c r="G860" s="3"/>
      <c r="H860" s="3"/>
      <c r="I860" s="3"/>
      <c r="J860" s="3"/>
    </row>
    <row r="861" spans="5:10" x14ac:dyDescent="0.2">
      <c r="E861" s="56"/>
      <c r="G861" s="3"/>
      <c r="H861" s="3"/>
      <c r="I861" s="3"/>
      <c r="J861" s="3"/>
    </row>
    <row r="862" spans="5:10" x14ac:dyDescent="0.2">
      <c r="E862" s="56"/>
      <c r="G862" s="3"/>
      <c r="H862" s="3"/>
      <c r="I862" s="3"/>
      <c r="J862" s="3"/>
    </row>
    <row r="863" spans="5:10" x14ac:dyDescent="0.2">
      <c r="E863" s="56"/>
      <c r="G863" s="3"/>
      <c r="H863" s="3"/>
      <c r="I863" s="3"/>
      <c r="J863" s="3"/>
    </row>
    <row r="864" spans="5:10" x14ac:dyDescent="0.2">
      <c r="E864" s="56"/>
      <c r="G864" s="3"/>
      <c r="H864" s="3"/>
      <c r="I864" s="3"/>
      <c r="J864" s="3"/>
    </row>
    <row r="865" spans="5:10" x14ac:dyDescent="0.2">
      <c r="E865" s="56"/>
      <c r="G865" s="3"/>
      <c r="H865" s="3"/>
      <c r="I865" s="3"/>
      <c r="J865" s="3"/>
    </row>
    <row r="866" spans="5:10" x14ac:dyDescent="0.2">
      <c r="E866" s="56"/>
      <c r="G866" s="3"/>
      <c r="H866" s="3"/>
      <c r="I866" s="3"/>
      <c r="J866" s="3"/>
    </row>
    <row r="867" spans="5:10" x14ac:dyDescent="0.2">
      <c r="E867" s="56"/>
      <c r="G867" s="3"/>
      <c r="H867" s="3"/>
      <c r="I867" s="3"/>
      <c r="J867" s="3"/>
    </row>
    <row r="868" spans="5:10" x14ac:dyDescent="0.2">
      <c r="E868" s="56"/>
      <c r="G868" s="3"/>
      <c r="H868" s="3"/>
      <c r="I868" s="3"/>
      <c r="J868" s="3"/>
    </row>
    <row r="869" spans="5:10" x14ac:dyDescent="0.2">
      <c r="E869" s="56"/>
      <c r="G869" s="3"/>
      <c r="H869" s="3"/>
      <c r="I869" s="3"/>
      <c r="J869" s="3"/>
    </row>
    <row r="870" spans="5:10" x14ac:dyDescent="0.2">
      <c r="E870" s="56"/>
      <c r="G870" s="3"/>
      <c r="H870" s="3"/>
      <c r="I870" s="3"/>
      <c r="J870" s="3"/>
    </row>
    <row r="871" spans="5:10" x14ac:dyDescent="0.2">
      <c r="E871" s="56"/>
      <c r="G871" s="3"/>
      <c r="H871" s="3"/>
      <c r="I871" s="3"/>
      <c r="J871" s="3"/>
    </row>
    <row r="872" spans="5:10" x14ac:dyDescent="0.2">
      <c r="E872" s="56"/>
      <c r="G872" s="3"/>
      <c r="H872" s="3"/>
      <c r="I872" s="3"/>
      <c r="J872" s="3"/>
    </row>
    <row r="873" spans="5:10" x14ac:dyDescent="0.2">
      <c r="E873" s="56"/>
      <c r="G873" s="3"/>
      <c r="H873" s="3"/>
      <c r="I873" s="3"/>
      <c r="J873" s="3"/>
    </row>
    <row r="874" spans="5:10" x14ac:dyDescent="0.2">
      <c r="E874" s="56"/>
      <c r="G874" s="3"/>
      <c r="H874" s="3"/>
      <c r="I874" s="3"/>
      <c r="J874" s="3"/>
    </row>
    <row r="875" spans="5:10" x14ac:dyDescent="0.2">
      <c r="E875" s="56"/>
      <c r="G875" s="3"/>
      <c r="H875" s="3"/>
      <c r="I875" s="3"/>
      <c r="J875" s="3"/>
    </row>
    <row r="876" spans="5:10" x14ac:dyDescent="0.2">
      <c r="E876" s="56"/>
      <c r="G876" s="3"/>
      <c r="H876" s="3"/>
      <c r="I876" s="3"/>
      <c r="J876" s="3"/>
    </row>
    <row r="877" spans="5:10" x14ac:dyDescent="0.2">
      <c r="E877" s="56"/>
      <c r="G877" s="3"/>
      <c r="H877" s="3"/>
      <c r="I877" s="3"/>
      <c r="J877" s="3"/>
    </row>
    <row r="878" spans="5:10" x14ac:dyDescent="0.2">
      <c r="E878" s="56"/>
      <c r="G878" s="3"/>
      <c r="H878" s="3"/>
      <c r="I878" s="3"/>
      <c r="J878" s="3"/>
    </row>
    <row r="879" spans="5:10" x14ac:dyDescent="0.2">
      <c r="E879" s="56"/>
      <c r="G879" s="3"/>
      <c r="H879" s="3"/>
      <c r="I879" s="3"/>
      <c r="J879" s="3"/>
    </row>
    <row r="880" spans="5:10" x14ac:dyDescent="0.2">
      <c r="E880" s="56"/>
      <c r="G880" s="3"/>
      <c r="H880" s="3"/>
      <c r="I880" s="3"/>
      <c r="J880" s="3"/>
    </row>
    <row r="881" spans="5:10" x14ac:dyDescent="0.2">
      <c r="E881" s="56"/>
      <c r="G881" s="3"/>
      <c r="H881" s="3"/>
      <c r="I881" s="3"/>
      <c r="J881" s="3"/>
    </row>
    <row r="882" spans="5:10" x14ac:dyDescent="0.2">
      <c r="E882" s="56"/>
      <c r="G882" s="3"/>
      <c r="H882" s="3"/>
      <c r="I882" s="3"/>
      <c r="J882" s="3"/>
    </row>
    <row r="883" spans="5:10" x14ac:dyDescent="0.2">
      <c r="E883" s="56"/>
      <c r="G883" s="3"/>
      <c r="H883" s="3"/>
      <c r="I883" s="3"/>
      <c r="J883" s="3"/>
    </row>
    <row r="884" spans="5:10" x14ac:dyDescent="0.2">
      <c r="E884" s="56"/>
      <c r="G884" s="3"/>
      <c r="H884" s="3"/>
      <c r="I884" s="3"/>
      <c r="J884" s="3"/>
    </row>
    <row r="885" spans="5:10" x14ac:dyDescent="0.2">
      <c r="E885" s="56"/>
      <c r="G885" s="3"/>
      <c r="H885" s="3"/>
      <c r="I885" s="3"/>
      <c r="J885" s="3"/>
    </row>
    <row r="886" spans="5:10" x14ac:dyDescent="0.2">
      <c r="E886" s="56"/>
      <c r="G886" s="3"/>
      <c r="H886" s="3"/>
      <c r="I886" s="3"/>
      <c r="J886" s="3"/>
    </row>
    <row r="887" spans="5:10" x14ac:dyDescent="0.2">
      <c r="E887" s="56"/>
      <c r="G887" s="3"/>
      <c r="H887" s="3"/>
      <c r="I887" s="3"/>
      <c r="J887" s="3"/>
    </row>
    <row r="888" spans="5:10" x14ac:dyDescent="0.2">
      <c r="E888" s="56"/>
      <c r="G888" s="3"/>
      <c r="H888" s="3"/>
      <c r="I888" s="3"/>
      <c r="J888" s="3"/>
    </row>
    <row r="889" spans="5:10" x14ac:dyDescent="0.2">
      <c r="E889" s="56"/>
      <c r="G889" s="3"/>
      <c r="H889" s="3"/>
      <c r="I889" s="3"/>
      <c r="J889" s="3"/>
    </row>
    <row r="890" spans="5:10" x14ac:dyDescent="0.2">
      <c r="E890" s="56"/>
      <c r="G890" s="3"/>
      <c r="H890" s="3"/>
      <c r="I890" s="3"/>
      <c r="J890" s="3"/>
    </row>
    <row r="891" spans="5:10" x14ac:dyDescent="0.2">
      <c r="E891" s="56"/>
      <c r="G891" s="3"/>
      <c r="H891" s="3"/>
      <c r="I891" s="3"/>
      <c r="J891" s="3"/>
    </row>
    <row r="892" spans="5:10" x14ac:dyDescent="0.2">
      <c r="E892" s="56"/>
      <c r="G892" s="3"/>
      <c r="H892" s="3"/>
      <c r="I892" s="3"/>
      <c r="J892" s="3"/>
    </row>
    <row r="893" spans="5:10" x14ac:dyDescent="0.2">
      <c r="E893" s="56"/>
      <c r="G893" s="3"/>
      <c r="H893" s="3"/>
      <c r="I893" s="3"/>
      <c r="J893" s="3"/>
    </row>
    <row r="894" spans="5:10" x14ac:dyDescent="0.2">
      <c r="E894" s="56"/>
      <c r="G894" s="3"/>
      <c r="H894" s="3"/>
      <c r="I894" s="3"/>
      <c r="J894" s="3"/>
    </row>
    <row r="895" spans="5:10" x14ac:dyDescent="0.2">
      <c r="E895" s="56"/>
      <c r="G895" s="3"/>
      <c r="H895" s="3"/>
      <c r="I895" s="3"/>
      <c r="J895" s="3"/>
    </row>
    <row r="896" spans="5:10" x14ac:dyDescent="0.2">
      <c r="E896" s="56"/>
      <c r="G896" s="3"/>
      <c r="H896" s="3"/>
      <c r="I896" s="3"/>
      <c r="J896" s="3"/>
    </row>
    <row r="897" spans="5:10" x14ac:dyDescent="0.2">
      <c r="E897" s="56"/>
      <c r="G897" s="3"/>
      <c r="H897" s="3"/>
      <c r="I897" s="3"/>
      <c r="J897" s="3"/>
    </row>
    <row r="898" spans="5:10" x14ac:dyDescent="0.2">
      <c r="E898" s="56"/>
      <c r="G898" s="3"/>
      <c r="H898" s="3"/>
      <c r="I898" s="3"/>
      <c r="J898" s="3"/>
    </row>
    <row r="899" spans="5:10" x14ac:dyDescent="0.2">
      <c r="E899" s="56"/>
      <c r="G899" s="3"/>
      <c r="H899" s="3"/>
      <c r="I899" s="3"/>
      <c r="J899" s="3"/>
    </row>
    <row r="900" spans="5:10" x14ac:dyDescent="0.2">
      <c r="E900" s="56"/>
      <c r="G900" s="3"/>
      <c r="H900" s="3"/>
      <c r="I900" s="3"/>
      <c r="J900" s="3"/>
    </row>
    <row r="901" spans="5:10" x14ac:dyDescent="0.2">
      <c r="E901" s="56"/>
      <c r="G901" s="3"/>
      <c r="H901" s="3"/>
      <c r="I901" s="3"/>
      <c r="J901" s="3"/>
    </row>
    <row r="902" spans="5:10" x14ac:dyDescent="0.2">
      <c r="E902" s="56"/>
      <c r="G902" s="3"/>
      <c r="H902" s="3"/>
      <c r="I902" s="3"/>
      <c r="J902" s="3"/>
    </row>
    <row r="903" spans="5:10" x14ac:dyDescent="0.2">
      <c r="E903" s="56"/>
      <c r="G903" s="3"/>
      <c r="H903" s="3"/>
      <c r="I903" s="3"/>
      <c r="J903" s="3"/>
    </row>
    <row r="904" spans="5:10" x14ac:dyDescent="0.2">
      <c r="E904" s="56"/>
      <c r="G904" s="3"/>
      <c r="H904" s="3"/>
      <c r="I904" s="3"/>
      <c r="J904" s="3"/>
    </row>
    <row r="905" spans="5:10" x14ac:dyDescent="0.2">
      <c r="E905" s="56"/>
      <c r="G905" s="3"/>
      <c r="H905" s="3"/>
      <c r="I905" s="3"/>
      <c r="J905" s="3"/>
    </row>
    <row r="906" spans="5:10" x14ac:dyDescent="0.2">
      <c r="E906" s="56"/>
      <c r="G906" s="3"/>
      <c r="H906" s="3"/>
      <c r="I906" s="3"/>
      <c r="J906" s="3"/>
    </row>
    <row r="907" spans="5:10" x14ac:dyDescent="0.2">
      <c r="E907" s="56"/>
      <c r="G907" s="3"/>
      <c r="H907" s="3"/>
      <c r="I907" s="3"/>
      <c r="J907" s="3"/>
    </row>
    <row r="908" spans="5:10" x14ac:dyDescent="0.2">
      <c r="E908" s="56"/>
      <c r="G908" s="3"/>
      <c r="H908" s="3"/>
      <c r="I908" s="3"/>
      <c r="J908" s="3"/>
    </row>
    <row r="909" spans="5:10" x14ac:dyDescent="0.2">
      <c r="E909" s="56"/>
      <c r="G909" s="3"/>
      <c r="H909" s="3"/>
      <c r="I909" s="3"/>
      <c r="J909" s="3"/>
    </row>
    <row r="910" spans="5:10" x14ac:dyDescent="0.2">
      <c r="E910" s="56"/>
      <c r="G910" s="3"/>
      <c r="H910" s="3"/>
      <c r="I910" s="3"/>
      <c r="J910" s="3"/>
    </row>
    <row r="911" spans="5:10" x14ac:dyDescent="0.2">
      <c r="E911" s="56"/>
      <c r="G911" s="3"/>
      <c r="H911" s="3"/>
      <c r="I911" s="3"/>
      <c r="J911" s="3"/>
    </row>
    <row r="912" spans="5:10" x14ac:dyDescent="0.2">
      <c r="E912" s="56"/>
      <c r="G912" s="3"/>
      <c r="H912" s="3"/>
      <c r="I912" s="3"/>
      <c r="J912" s="3"/>
    </row>
    <row r="913" spans="5:10" x14ac:dyDescent="0.2">
      <c r="E913" s="56"/>
      <c r="G913" s="3"/>
      <c r="H913" s="3"/>
      <c r="I913" s="3"/>
      <c r="J913" s="3"/>
    </row>
    <row r="914" spans="5:10" x14ac:dyDescent="0.2">
      <c r="E914" s="56"/>
      <c r="G914" s="3"/>
      <c r="H914" s="3"/>
      <c r="I914" s="3"/>
      <c r="J914" s="3"/>
    </row>
    <row r="915" spans="5:10" x14ac:dyDescent="0.2">
      <c r="E915" s="56"/>
      <c r="G915" s="3"/>
      <c r="H915" s="3"/>
      <c r="I915" s="3"/>
      <c r="J915" s="3"/>
    </row>
    <row r="916" spans="5:10" x14ac:dyDescent="0.2">
      <c r="E916" s="56"/>
      <c r="G916" s="3"/>
      <c r="H916" s="3"/>
      <c r="I916" s="3"/>
      <c r="J916" s="3"/>
    </row>
    <row r="917" spans="5:10" x14ac:dyDescent="0.2">
      <c r="E917" s="56"/>
      <c r="G917" s="3"/>
      <c r="H917" s="3"/>
      <c r="I917" s="3"/>
      <c r="J917" s="3"/>
    </row>
    <row r="918" spans="5:10" x14ac:dyDescent="0.2">
      <c r="E918" s="56"/>
      <c r="G918" s="3"/>
      <c r="H918" s="3"/>
      <c r="I918" s="3"/>
      <c r="J918" s="3"/>
    </row>
    <row r="919" spans="5:10" x14ac:dyDescent="0.2">
      <c r="E919" s="56"/>
      <c r="G919" s="3"/>
      <c r="H919" s="3"/>
      <c r="I919" s="3"/>
      <c r="J919" s="3"/>
    </row>
    <row r="920" spans="5:10" x14ac:dyDescent="0.2">
      <c r="E920" s="56"/>
      <c r="G920" s="3"/>
      <c r="H920" s="3"/>
      <c r="I920" s="3"/>
      <c r="J920" s="3"/>
    </row>
    <row r="921" spans="5:10" x14ac:dyDescent="0.2">
      <c r="E921" s="56"/>
      <c r="G921" s="3"/>
      <c r="H921" s="3"/>
      <c r="I921" s="3"/>
      <c r="J921" s="3"/>
    </row>
    <row r="922" spans="5:10" x14ac:dyDescent="0.2">
      <c r="E922" s="56"/>
      <c r="G922" s="3"/>
      <c r="H922" s="3"/>
      <c r="I922" s="3"/>
      <c r="J922" s="3"/>
    </row>
    <row r="923" spans="5:10" x14ac:dyDescent="0.2">
      <c r="E923" s="56"/>
      <c r="G923" s="3"/>
      <c r="H923" s="3"/>
      <c r="I923" s="3"/>
      <c r="J923" s="3"/>
    </row>
    <row r="924" spans="5:10" x14ac:dyDescent="0.2">
      <c r="E924" s="56"/>
      <c r="G924" s="3"/>
      <c r="H924" s="3"/>
      <c r="I924" s="3"/>
      <c r="J924" s="3"/>
    </row>
    <row r="925" spans="5:10" x14ac:dyDescent="0.2">
      <c r="E925" s="56"/>
      <c r="G925" s="3"/>
      <c r="H925" s="3"/>
      <c r="I925" s="3"/>
      <c r="J925" s="3"/>
    </row>
    <row r="926" spans="5:10" x14ac:dyDescent="0.2">
      <c r="E926" s="56"/>
      <c r="G926" s="3"/>
      <c r="H926" s="3"/>
      <c r="I926" s="3"/>
      <c r="J926" s="3"/>
    </row>
    <row r="927" spans="5:10" x14ac:dyDescent="0.2">
      <c r="E927" s="56"/>
      <c r="G927" s="3"/>
      <c r="H927" s="3"/>
      <c r="I927" s="3"/>
      <c r="J927" s="3"/>
    </row>
    <row r="928" spans="5:10" x14ac:dyDescent="0.2">
      <c r="E928" s="56"/>
      <c r="G928" s="3"/>
      <c r="H928" s="3"/>
      <c r="I928" s="3"/>
      <c r="J928" s="3"/>
    </row>
    <row r="929" spans="5:10" x14ac:dyDescent="0.2">
      <c r="E929" s="56"/>
      <c r="G929" s="3"/>
      <c r="H929" s="3"/>
      <c r="I929" s="3"/>
      <c r="J929" s="3"/>
    </row>
    <row r="930" spans="5:10" x14ac:dyDescent="0.2">
      <c r="E930" s="56"/>
      <c r="G930" s="3"/>
      <c r="H930" s="3"/>
      <c r="I930" s="3"/>
      <c r="J930" s="3"/>
    </row>
    <row r="931" spans="5:10" x14ac:dyDescent="0.2">
      <c r="E931" s="56"/>
      <c r="G931" s="3"/>
      <c r="H931" s="3"/>
      <c r="I931" s="3"/>
      <c r="J931" s="3"/>
    </row>
    <row r="932" spans="5:10" x14ac:dyDescent="0.2">
      <c r="E932" s="56"/>
      <c r="G932" s="3"/>
      <c r="H932" s="3"/>
      <c r="I932" s="3"/>
      <c r="J932" s="3"/>
    </row>
    <row r="933" spans="5:10" x14ac:dyDescent="0.2">
      <c r="E933" s="56"/>
      <c r="G933" s="3"/>
      <c r="H933" s="3"/>
      <c r="I933" s="3"/>
      <c r="J933" s="3"/>
    </row>
    <row r="934" spans="5:10" x14ac:dyDescent="0.2">
      <c r="E934" s="56"/>
      <c r="G934" s="3"/>
      <c r="H934" s="3"/>
      <c r="I934" s="3"/>
      <c r="J934" s="3"/>
    </row>
    <row r="935" spans="5:10" x14ac:dyDescent="0.2">
      <c r="E935" s="56"/>
      <c r="G935" s="3"/>
      <c r="H935" s="3"/>
      <c r="I935" s="3"/>
      <c r="J935" s="3"/>
    </row>
    <row r="936" spans="5:10" x14ac:dyDescent="0.2">
      <c r="E936" s="56"/>
      <c r="G936" s="3"/>
      <c r="H936" s="3"/>
      <c r="I936" s="3"/>
      <c r="J936" s="3"/>
    </row>
    <row r="937" spans="5:10" x14ac:dyDescent="0.2">
      <c r="E937" s="56"/>
      <c r="G937" s="3"/>
      <c r="H937" s="3"/>
      <c r="I937" s="3"/>
      <c r="J937" s="3"/>
    </row>
    <row r="938" spans="5:10" x14ac:dyDescent="0.2">
      <c r="E938" s="56"/>
      <c r="G938" s="3"/>
      <c r="H938" s="3"/>
      <c r="I938" s="3"/>
      <c r="J938" s="3"/>
    </row>
    <row r="939" spans="5:10" x14ac:dyDescent="0.2">
      <c r="E939" s="56"/>
      <c r="G939" s="3"/>
      <c r="H939" s="3"/>
      <c r="I939" s="3"/>
      <c r="J939" s="3"/>
    </row>
    <row r="940" spans="5:10" x14ac:dyDescent="0.2">
      <c r="E940" s="56"/>
      <c r="G940" s="3"/>
      <c r="H940" s="3"/>
      <c r="I940" s="3"/>
      <c r="J940" s="3"/>
    </row>
    <row r="941" spans="5:10" x14ac:dyDescent="0.2">
      <c r="E941" s="56"/>
      <c r="G941" s="3"/>
      <c r="H941" s="3"/>
      <c r="I941" s="3"/>
      <c r="J941" s="3"/>
    </row>
    <row r="942" spans="5:10" x14ac:dyDescent="0.2">
      <c r="E942" s="56"/>
      <c r="G942" s="3"/>
      <c r="H942" s="3"/>
      <c r="I942" s="3"/>
      <c r="J942" s="3"/>
    </row>
    <row r="943" spans="5:10" x14ac:dyDescent="0.2">
      <c r="E943" s="56"/>
      <c r="G943" s="3"/>
      <c r="H943" s="3"/>
      <c r="I943" s="3"/>
      <c r="J943" s="3"/>
    </row>
    <row r="944" spans="5:10" x14ac:dyDescent="0.2">
      <c r="E944" s="56"/>
      <c r="G944" s="3"/>
      <c r="H944" s="3"/>
      <c r="I944" s="3"/>
      <c r="J944" s="3"/>
    </row>
    <row r="945" spans="5:10" x14ac:dyDescent="0.2">
      <c r="E945" s="56"/>
      <c r="G945" s="3"/>
      <c r="H945" s="3"/>
      <c r="I945" s="3"/>
      <c r="J945" s="3"/>
    </row>
    <row r="946" spans="5:10" x14ac:dyDescent="0.2">
      <c r="E946" s="56"/>
      <c r="G946" s="3"/>
      <c r="H946" s="3"/>
      <c r="I946" s="3"/>
      <c r="J946" s="3"/>
    </row>
    <row r="947" spans="5:10" x14ac:dyDescent="0.2">
      <c r="E947" s="56"/>
      <c r="G947" s="3"/>
      <c r="H947" s="3"/>
      <c r="I947" s="3"/>
      <c r="J947" s="3"/>
    </row>
    <row r="948" spans="5:10" x14ac:dyDescent="0.2">
      <c r="E948" s="56"/>
      <c r="G948" s="3"/>
      <c r="H948" s="3"/>
      <c r="I948" s="3"/>
      <c r="J948" s="3"/>
    </row>
    <row r="949" spans="5:10" x14ac:dyDescent="0.2">
      <c r="E949" s="56"/>
      <c r="G949" s="3"/>
      <c r="H949" s="3"/>
      <c r="I949" s="3"/>
      <c r="J949" s="3"/>
    </row>
    <row r="950" spans="5:10" x14ac:dyDescent="0.2">
      <c r="E950" s="56"/>
      <c r="G950" s="3"/>
      <c r="H950" s="3"/>
      <c r="I950" s="3"/>
      <c r="J950" s="3"/>
    </row>
    <row r="951" spans="5:10" x14ac:dyDescent="0.2">
      <c r="E951" s="56"/>
      <c r="G951" s="3"/>
      <c r="H951" s="3"/>
      <c r="I951" s="3"/>
      <c r="J951" s="3"/>
    </row>
    <row r="952" spans="5:10" x14ac:dyDescent="0.2">
      <c r="E952" s="56"/>
      <c r="G952" s="3"/>
      <c r="H952" s="3"/>
      <c r="I952" s="3"/>
      <c r="J952" s="3"/>
    </row>
    <row r="953" spans="5:10" x14ac:dyDescent="0.2">
      <c r="E953" s="56"/>
      <c r="G953" s="3"/>
      <c r="H953" s="3"/>
      <c r="I953" s="3"/>
      <c r="J953" s="3"/>
    </row>
    <row r="954" spans="5:10" x14ac:dyDescent="0.2">
      <c r="E954" s="56"/>
      <c r="G954" s="3"/>
      <c r="H954" s="3"/>
      <c r="I954" s="3"/>
      <c r="J954" s="3"/>
    </row>
    <row r="955" spans="5:10" x14ac:dyDescent="0.2">
      <c r="E955" s="56"/>
      <c r="G955" s="3"/>
      <c r="H955" s="3"/>
      <c r="I955" s="3"/>
      <c r="J955" s="3"/>
    </row>
    <row r="956" spans="5:10" x14ac:dyDescent="0.2">
      <c r="E956" s="56"/>
      <c r="G956" s="3"/>
      <c r="H956" s="3"/>
      <c r="I956" s="3"/>
      <c r="J956" s="3"/>
    </row>
    <row r="957" spans="5:10" x14ac:dyDescent="0.2">
      <c r="E957" s="56"/>
      <c r="G957" s="3"/>
      <c r="H957" s="3"/>
      <c r="I957" s="3"/>
      <c r="J957" s="3"/>
    </row>
    <row r="958" spans="5:10" x14ac:dyDescent="0.2">
      <c r="E958" s="56"/>
      <c r="G958" s="3"/>
      <c r="H958" s="3"/>
      <c r="I958" s="3"/>
      <c r="J958" s="3"/>
    </row>
    <row r="959" spans="5:10" x14ac:dyDescent="0.2">
      <c r="E959" s="56"/>
      <c r="G959" s="3"/>
      <c r="H959" s="3"/>
      <c r="I959" s="3"/>
      <c r="J959" s="3"/>
    </row>
    <row r="960" spans="5:10" x14ac:dyDescent="0.2">
      <c r="E960" s="56"/>
      <c r="G960" s="3"/>
      <c r="H960" s="3"/>
      <c r="I960" s="3"/>
      <c r="J960" s="3"/>
    </row>
    <row r="961" spans="5:10" x14ac:dyDescent="0.2">
      <c r="E961" s="56"/>
      <c r="G961" s="3"/>
      <c r="H961" s="3"/>
      <c r="I961" s="3"/>
      <c r="J961" s="3"/>
    </row>
    <row r="962" spans="5:10" x14ac:dyDescent="0.2">
      <c r="E962" s="56"/>
      <c r="G962" s="3"/>
      <c r="H962" s="3"/>
      <c r="I962" s="3"/>
      <c r="J962" s="3"/>
    </row>
    <row r="963" spans="5:10" x14ac:dyDescent="0.2">
      <c r="E963" s="56"/>
      <c r="G963" s="3"/>
      <c r="H963" s="3"/>
      <c r="I963" s="3"/>
      <c r="J963" s="3"/>
    </row>
    <row r="964" spans="5:10" x14ac:dyDescent="0.2">
      <c r="E964" s="56"/>
      <c r="G964" s="3"/>
      <c r="H964" s="3"/>
      <c r="I964" s="3"/>
      <c r="J964" s="3"/>
    </row>
    <row r="965" spans="5:10" x14ac:dyDescent="0.2">
      <c r="E965" s="56"/>
      <c r="G965" s="3"/>
      <c r="H965" s="3"/>
      <c r="I965" s="3"/>
      <c r="J965" s="3"/>
    </row>
    <row r="966" spans="5:10" x14ac:dyDescent="0.2">
      <c r="E966" s="56"/>
      <c r="G966" s="3"/>
      <c r="H966" s="3"/>
      <c r="I966" s="3"/>
      <c r="J966" s="3"/>
    </row>
    <row r="967" spans="5:10" x14ac:dyDescent="0.2">
      <c r="E967" s="56"/>
      <c r="G967" s="3"/>
      <c r="H967" s="3"/>
      <c r="I967" s="3"/>
      <c r="J967" s="3"/>
    </row>
    <row r="968" spans="5:10" x14ac:dyDescent="0.2">
      <c r="E968" s="56"/>
      <c r="G968" s="3"/>
      <c r="H968" s="3"/>
      <c r="I968" s="3"/>
      <c r="J968" s="3"/>
    </row>
    <row r="969" spans="5:10" x14ac:dyDescent="0.2">
      <c r="E969" s="56"/>
      <c r="G969" s="3"/>
      <c r="H969" s="3"/>
      <c r="I969" s="3"/>
      <c r="J969" s="3"/>
    </row>
    <row r="970" spans="5:10" x14ac:dyDescent="0.2">
      <c r="E970" s="56"/>
      <c r="G970" s="3"/>
      <c r="H970" s="3"/>
      <c r="I970" s="3"/>
      <c r="J970" s="3"/>
    </row>
    <row r="971" spans="5:10" x14ac:dyDescent="0.2">
      <c r="E971" s="56"/>
      <c r="G971" s="3"/>
      <c r="H971" s="3"/>
      <c r="I971" s="3"/>
      <c r="J971" s="3"/>
    </row>
    <row r="972" spans="5:10" x14ac:dyDescent="0.2">
      <c r="E972" s="56"/>
      <c r="G972" s="3"/>
      <c r="H972" s="3"/>
      <c r="I972" s="3"/>
      <c r="J972" s="3"/>
    </row>
    <row r="973" spans="5:10" x14ac:dyDescent="0.2">
      <c r="E973" s="56"/>
      <c r="G973" s="3"/>
      <c r="H973" s="3"/>
      <c r="I973" s="3"/>
      <c r="J973" s="3"/>
    </row>
    <row r="974" spans="5:10" x14ac:dyDescent="0.2">
      <c r="E974" s="56"/>
      <c r="G974" s="3"/>
      <c r="H974" s="3"/>
      <c r="I974" s="3"/>
      <c r="J974" s="3"/>
    </row>
    <row r="975" spans="5:10" x14ac:dyDescent="0.2">
      <c r="E975" s="56"/>
      <c r="G975" s="3"/>
      <c r="H975" s="3"/>
      <c r="I975" s="3"/>
      <c r="J975" s="3"/>
    </row>
    <row r="976" spans="5:10" x14ac:dyDescent="0.2">
      <c r="E976" s="56"/>
      <c r="G976" s="3"/>
      <c r="H976" s="3"/>
      <c r="I976" s="3"/>
      <c r="J976" s="3"/>
    </row>
    <row r="977" spans="5:10" x14ac:dyDescent="0.2">
      <c r="E977" s="56"/>
      <c r="G977" s="3"/>
      <c r="H977" s="3"/>
      <c r="I977" s="3"/>
      <c r="J977" s="3"/>
    </row>
    <row r="978" spans="5:10" x14ac:dyDescent="0.2">
      <c r="E978" s="56"/>
      <c r="G978" s="3"/>
      <c r="H978" s="3"/>
      <c r="I978" s="3"/>
      <c r="J978" s="3"/>
    </row>
    <row r="979" spans="5:10" x14ac:dyDescent="0.2">
      <c r="E979" s="56"/>
      <c r="G979" s="3"/>
      <c r="H979" s="3"/>
      <c r="I979" s="3"/>
      <c r="J979" s="3"/>
    </row>
    <row r="980" spans="5:10" x14ac:dyDescent="0.2">
      <c r="E980" s="56"/>
      <c r="G980" s="3"/>
      <c r="H980" s="3"/>
      <c r="I980" s="3"/>
      <c r="J980" s="3"/>
    </row>
    <row r="981" spans="5:10" x14ac:dyDescent="0.2">
      <c r="E981" s="56"/>
      <c r="G981" s="3"/>
      <c r="H981" s="3"/>
      <c r="I981" s="3"/>
      <c r="J981" s="3"/>
    </row>
    <row r="982" spans="5:10" x14ac:dyDescent="0.2">
      <c r="E982" s="56"/>
      <c r="G982" s="3"/>
      <c r="H982" s="3"/>
      <c r="I982" s="3"/>
      <c r="J982" s="3"/>
    </row>
    <row r="983" spans="5:10" x14ac:dyDescent="0.2">
      <c r="E983" s="56"/>
      <c r="G983" s="3"/>
      <c r="H983" s="3"/>
      <c r="I983" s="3"/>
      <c r="J983" s="3"/>
    </row>
    <row r="984" spans="5:10" x14ac:dyDescent="0.2">
      <c r="E984" s="56"/>
      <c r="G984" s="3"/>
      <c r="H984" s="3"/>
      <c r="I984" s="3"/>
      <c r="J984" s="3"/>
    </row>
    <row r="985" spans="5:10" x14ac:dyDescent="0.2">
      <c r="E985" s="56"/>
      <c r="G985" s="3"/>
      <c r="H985" s="3"/>
      <c r="I985" s="3"/>
      <c r="J985" s="3"/>
    </row>
    <row r="986" spans="5:10" x14ac:dyDescent="0.2">
      <c r="E986" s="56"/>
      <c r="G986" s="3"/>
      <c r="H986" s="3"/>
      <c r="I986" s="3"/>
      <c r="J986" s="3"/>
    </row>
    <row r="987" spans="5:10" x14ac:dyDescent="0.2">
      <c r="E987" s="56"/>
      <c r="G987" s="3"/>
      <c r="H987" s="3"/>
      <c r="I987" s="3"/>
      <c r="J987" s="3"/>
    </row>
    <row r="988" spans="5:10" x14ac:dyDescent="0.2">
      <c r="E988" s="56"/>
      <c r="G988" s="3"/>
      <c r="H988" s="3"/>
      <c r="I988" s="3"/>
      <c r="J988" s="3"/>
    </row>
    <row r="989" spans="5:10" x14ac:dyDescent="0.2">
      <c r="E989" s="56"/>
      <c r="G989" s="3"/>
      <c r="H989" s="3"/>
      <c r="I989" s="3"/>
      <c r="J989" s="3"/>
    </row>
    <row r="990" spans="5:10" x14ac:dyDescent="0.2">
      <c r="E990" s="56"/>
      <c r="G990" s="3"/>
      <c r="H990" s="3"/>
      <c r="I990" s="3"/>
      <c r="J990" s="3"/>
    </row>
    <row r="991" spans="5:10" x14ac:dyDescent="0.2">
      <c r="E991" s="56"/>
      <c r="G991" s="3"/>
      <c r="H991" s="3"/>
      <c r="I991" s="3"/>
      <c r="J991" s="3"/>
    </row>
    <row r="992" spans="5:10" x14ac:dyDescent="0.2">
      <c r="E992" s="56"/>
      <c r="G992" s="3"/>
      <c r="H992" s="3"/>
      <c r="I992" s="3"/>
      <c r="J992" s="3"/>
    </row>
    <row r="993" spans="5:10" x14ac:dyDescent="0.2">
      <c r="E993" s="56"/>
      <c r="G993" s="3"/>
      <c r="H993" s="3"/>
      <c r="I993" s="3"/>
      <c r="J993" s="3"/>
    </row>
    <row r="994" spans="5:10" x14ac:dyDescent="0.2">
      <c r="E994" s="56"/>
      <c r="G994" s="3"/>
      <c r="H994" s="3"/>
      <c r="I994" s="3"/>
      <c r="J994" s="3"/>
    </row>
    <row r="995" spans="5:10" x14ac:dyDescent="0.2">
      <c r="E995" s="56"/>
      <c r="G995" s="3"/>
      <c r="H995" s="3"/>
      <c r="I995" s="3"/>
      <c r="J995" s="3"/>
    </row>
    <row r="996" spans="5:10" x14ac:dyDescent="0.2">
      <c r="E996" s="56"/>
      <c r="G996" s="3"/>
      <c r="H996" s="3"/>
      <c r="I996" s="3"/>
      <c r="J996" s="3"/>
    </row>
    <row r="997" spans="5:10" x14ac:dyDescent="0.2">
      <c r="E997" s="56"/>
      <c r="G997" s="3"/>
      <c r="H997" s="3"/>
      <c r="I997" s="3"/>
      <c r="J997" s="3"/>
    </row>
    <row r="998" spans="5:10" x14ac:dyDescent="0.2">
      <c r="E998" s="56"/>
      <c r="G998" s="3"/>
      <c r="H998" s="3"/>
      <c r="I998" s="3"/>
      <c r="J998" s="3"/>
    </row>
    <row r="999" spans="5:10" x14ac:dyDescent="0.2">
      <c r="E999" s="56"/>
      <c r="G999" s="3"/>
      <c r="H999" s="3"/>
      <c r="I999" s="3"/>
      <c r="J999" s="3"/>
    </row>
    <row r="1000" spans="5:10" x14ac:dyDescent="0.2">
      <c r="E1000" s="56"/>
      <c r="G1000" s="3"/>
      <c r="H1000" s="3"/>
      <c r="I1000" s="3"/>
      <c r="J1000" s="3"/>
    </row>
    <row r="1001" spans="5:10" x14ac:dyDescent="0.2">
      <c r="E1001" s="56"/>
      <c r="G1001" s="3"/>
      <c r="H1001" s="3"/>
      <c r="I1001" s="3"/>
      <c r="J1001" s="3"/>
    </row>
    <row r="1002" spans="5:10" x14ac:dyDescent="0.2">
      <c r="E1002" s="56"/>
      <c r="G1002" s="3"/>
      <c r="H1002" s="3"/>
      <c r="I1002" s="3"/>
      <c r="J1002" s="3"/>
    </row>
    <row r="1003" spans="5:10" x14ac:dyDescent="0.2">
      <c r="E1003" s="56"/>
      <c r="G1003" s="3"/>
      <c r="H1003" s="3"/>
      <c r="I1003" s="3"/>
      <c r="J1003" s="3"/>
    </row>
    <row r="1004" spans="5:10" x14ac:dyDescent="0.2">
      <c r="E1004" s="56"/>
      <c r="G1004" s="3"/>
      <c r="H1004" s="3"/>
      <c r="I1004" s="3"/>
      <c r="J1004" s="3"/>
    </row>
    <row r="1005" spans="5:10" x14ac:dyDescent="0.2">
      <c r="E1005" s="56"/>
      <c r="G1005" s="3"/>
      <c r="H1005" s="3"/>
      <c r="I1005" s="3"/>
      <c r="J1005" s="3"/>
    </row>
    <row r="1006" spans="5:10" x14ac:dyDescent="0.2">
      <c r="E1006" s="56"/>
      <c r="G1006" s="3"/>
      <c r="H1006" s="3"/>
      <c r="I1006" s="3"/>
      <c r="J1006" s="3"/>
    </row>
    <row r="1007" spans="5:10" x14ac:dyDescent="0.2">
      <c r="E1007" s="56"/>
      <c r="G1007" s="3"/>
      <c r="H1007" s="3"/>
      <c r="I1007" s="3"/>
      <c r="J1007" s="3"/>
    </row>
    <row r="1008" spans="5:10" x14ac:dyDescent="0.2">
      <c r="E1008" s="56"/>
      <c r="G1008" s="3"/>
      <c r="H1008" s="3"/>
      <c r="I1008" s="3"/>
      <c r="J1008" s="3"/>
    </row>
    <row r="1009" spans="5:10" x14ac:dyDescent="0.2">
      <c r="E1009" s="56"/>
      <c r="G1009" s="3"/>
      <c r="H1009" s="3"/>
      <c r="I1009" s="3"/>
      <c r="J1009" s="3"/>
    </row>
    <row r="1010" spans="5:10" x14ac:dyDescent="0.2">
      <c r="E1010" s="56"/>
      <c r="G1010" s="3"/>
      <c r="H1010" s="3"/>
      <c r="I1010" s="3"/>
      <c r="J1010" s="3"/>
    </row>
    <row r="1011" spans="5:10" x14ac:dyDescent="0.2">
      <c r="E1011" s="56"/>
      <c r="G1011" s="3"/>
      <c r="H1011" s="3"/>
      <c r="I1011" s="3"/>
      <c r="J1011" s="3"/>
    </row>
    <row r="1012" spans="5:10" x14ac:dyDescent="0.2">
      <c r="E1012" s="56"/>
      <c r="G1012" s="3"/>
      <c r="H1012" s="3"/>
      <c r="I1012" s="3"/>
      <c r="J1012" s="3"/>
    </row>
    <row r="1013" spans="5:10" x14ac:dyDescent="0.2">
      <c r="E1013" s="56"/>
      <c r="G1013" s="3"/>
      <c r="H1013" s="3"/>
      <c r="I1013" s="3"/>
      <c r="J1013" s="3"/>
    </row>
    <row r="1014" spans="5:10" x14ac:dyDescent="0.2">
      <c r="E1014" s="56"/>
      <c r="G1014" s="3"/>
      <c r="H1014" s="3"/>
      <c r="I1014" s="3"/>
      <c r="J1014" s="3"/>
    </row>
    <row r="1015" spans="5:10" x14ac:dyDescent="0.2">
      <c r="E1015" s="56"/>
      <c r="G1015" s="3"/>
      <c r="H1015" s="3"/>
      <c r="I1015" s="3"/>
      <c r="J1015" s="3"/>
    </row>
    <row r="1016" spans="5:10" x14ac:dyDescent="0.2">
      <c r="E1016" s="56"/>
      <c r="G1016" s="3"/>
      <c r="H1016" s="3"/>
      <c r="I1016" s="3"/>
      <c r="J1016" s="3"/>
    </row>
    <row r="1017" spans="5:10" x14ac:dyDescent="0.2">
      <c r="E1017" s="56"/>
      <c r="G1017" s="3"/>
      <c r="H1017" s="3"/>
      <c r="I1017" s="3"/>
      <c r="J1017" s="3"/>
    </row>
    <row r="1018" spans="5:10" x14ac:dyDescent="0.2">
      <c r="E1018" s="56"/>
      <c r="G1018" s="3"/>
      <c r="H1018" s="3"/>
      <c r="I1018" s="3"/>
      <c r="J1018" s="3"/>
    </row>
    <row r="1019" spans="5:10" x14ac:dyDescent="0.2">
      <c r="E1019" s="56"/>
      <c r="G1019" s="3"/>
      <c r="H1019" s="3"/>
      <c r="I1019" s="3"/>
      <c r="J1019" s="3"/>
    </row>
    <row r="1020" spans="5:10" x14ac:dyDescent="0.2">
      <c r="E1020" s="56"/>
      <c r="G1020" s="3"/>
      <c r="H1020" s="3"/>
      <c r="I1020" s="3"/>
      <c r="J1020" s="3"/>
    </row>
    <row r="1021" spans="5:10" x14ac:dyDescent="0.2">
      <c r="E1021" s="56"/>
      <c r="G1021" s="3"/>
      <c r="H1021" s="3"/>
      <c r="I1021" s="3"/>
      <c r="J1021" s="3"/>
    </row>
    <row r="1022" spans="5:10" x14ac:dyDescent="0.2">
      <c r="E1022" s="56"/>
      <c r="G1022" s="3"/>
      <c r="H1022" s="3"/>
      <c r="I1022" s="3"/>
      <c r="J1022" s="3"/>
    </row>
    <row r="1023" spans="5:10" x14ac:dyDescent="0.2">
      <c r="E1023" s="56"/>
      <c r="G1023" s="3"/>
      <c r="H1023" s="3"/>
      <c r="I1023" s="3"/>
      <c r="J1023" s="3"/>
    </row>
    <row r="1024" spans="5:10" x14ac:dyDescent="0.2">
      <c r="E1024" s="56"/>
      <c r="G1024" s="3"/>
      <c r="H1024" s="3"/>
      <c r="I1024" s="3"/>
      <c r="J1024" s="3"/>
    </row>
    <row r="1025" spans="5:10" x14ac:dyDescent="0.2">
      <c r="E1025" s="56"/>
      <c r="G1025" s="3"/>
      <c r="H1025" s="3"/>
      <c r="I1025" s="3"/>
      <c r="J1025" s="3"/>
    </row>
    <row r="1026" spans="5:10" x14ac:dyDescent="0.2">
      <c r="E1026" s="56"/>
      <c r="G1026" s="3"/>
      <c r="H1026" s="3"/>
      <c r="I1026" s="3"/>
      <c r="J1026" s="3"/>
    </row>
    <row r="1027" spans="5:10" x14ac:dyDescent="0.2">
      <c r="E1027" s="56"/>
      <c r="G1027" s="3"/>
      <c r="H1027" s="3"/>
      <c r="I1027" s="3"/>
      <c r="J1027" s="3"/>
    </row>
    <row r="1028" spans="5:10" x14ac:dyDescent="0.2">
      <c r="E1028" s="56"/>
      <c r="G1028" s="3"/>
      <c r="H1028" s="3"/>
      <c r="I1028" s="3"/>
      <c r="J1028" s="3"/>
    </row>
    <row r="1029" spans="5:10" x14ac:dyDescent="0.2">
      <c r="E1029" s="56"/>
      <c r="G1029" s="3"/>
      <c r="H1029" s="3"/>
      <c r="I1029" s="3"/>
      <c r="J1029" s="3"/>
    </row>
    <row r="1030" spans="5:10" x14ac:dyDescent="0.2">
      <c r="E1030" s="56"/>
      <c r="G1030" s="3"/>
      <c r="H1030" s="3"/>
      <c r="I1030" s="3"/>
      <c r="J1030" s="3"/>
    </row>
    <row r="1031" spans="5:10" x14ac:dyDescent="0.2">
      <c r="E1031" s="56"/>
      <c r="G1031" s="3"/>
      <c r="H1031" s="3"/>
      <c r="I1031" s="3"/>
      <c r="J1031" s="3"/>
    </row>
    <row r="1032" spans="5:10" x14ac:dyDescent="0.2">
      <c r="E1032" s="56"/>
      <c r="G1032" s="3"/>
      <c r="H1032" s="3"/>
      <c r="I1032" s="3"/>
      <c r="J1032" s="3"/>
    </row>
    <row r="1033" spans="5:10" x14ac:dyDescent="0.2">
      <c r="E1033" s="56"/>
      <c r="G1033" s="3"/>
      <c r="H1033" s="3"/>
      <c r="I1033" s="3"/>
      <c r="J1033" s="3"/>
    </row>
    <row r="1034" spans="5:10" x14ac:dyDescent="0.2">
      <c r="E1034" s="56"/>
      <c r="G1034" s="3"/>
      <c r="H1034" s="3"/>
      <c r="I1034" s="3"/>
      <c r="J1034" s="3"/>
    </row>
    <row r="1035" spans="5:10" x14ac:dyDescent="0.2">
      <c r="E1035" s="56"/>
      <c r="G1035" s="3"/>
      <c r="H1035" s="3"/>
      <c r="I1035" s="3"/>
      <c r="J1035" s="3"/>
    </row>
    <row r="1036" spans="5:10" x14ac:dyDescent="0.2">
      <c r="E1036" s="56"/>
      <c r="G1036" s="3"/>
      <c r="H1036" s="3"/>
      <c r="I1036" s="3"/>
      <c r="J1036" s="3"/>
    </row>
    <row r="1037" spans="5:10" x14ac:dyDescent="0.2">
      <c r="E1037" s="56"/>
      <c r="G1037" s="3"/>
      <c r="H1037" s="3"/>
      <c r="I1037" s="3"/>
      <c r="J1037" s="3"/>
    </row>
    <row r="1038" spans="5:10" x14ac:dyDescent="0.2">
      <c r="E1038" s="56"/>
      <c r="G1038" s="3"/>
      <c r="H1038" s="3"/>
      <c r="I1038" s="3"/>
      <c r="J1038" s="3"/>
    </row>
    <row r="1039" spans="5:10" x14ac:dyDescent="0.2">
      <c r="E1039" s="56"/>
      <c r="G1039" s="3"/>
      <c r="H1039" s="3"/>
      <c r="I1039" s="3"/>
      <c r="J1039" s="3"/>
    </row>
    <row r="1040" spans="5:10" x14ac:dyDescent="0.2">
      <c r="E1040" s="56"/>
      <c r="G1040" s="3"/>
      <c r="H1040" s="3"/>
      <c r="I1040" s="3"/>
      <c r="J1040" s="3"/>
    </row>
    <row r="1041" spans="5:10" x14ac:dyDescent="0.2">
      <c r="E1041" s="56"/>
      <c r="G1041" s="3"/>
      <c r="H1041" s="3"/>
      <c r="I1041" s="3"/>
      <c r="J1041" s="3"/>
    </row>
    <row r="1042" spans="5:10" x14ac:dyDescent="0.2">
      <c r="E1042" s="56"/>
      <c r="G1042" s="3"/>
      <c r="H1042" s="3"/>
      <c r="I1042" s="3"/>
      <c r="J1042" s="3"/>
    </row>
    <row r="1043" spans="5:10" x14ac:dyDescent="0.2">
      <c r="E1043" s="56"/>
      <c r="G1043" s="3"/>
      <c r="H1043" s="3"/>
      <c r="I1043" s="3"/>
      <c r="J1043" s="3"/>
    </row>
    <row r="1044" spans="5:10" x14ac:dyDescent="0.2">
      <c r="E1044" s="56"/>
      <c r="G1044" s="3"/>
      <c r="H1044" s="3"/>
      <c r="I1044" s="3"/>
      <c r="J1044" s="3"/>
    </row>
    <row r="1045" spans="5:10" x14ac:dyDescent="0.2">
      <c r="E1045" s="56"/>
      <c r="G1045" s="3"/>
      <c r="H1045" s="3"/>
      <c r="I1045" s="3"/>
      <c r="J1045" s="3"/>
    </row>
    <row r="1046" spans="5:10" x14ac:dyDescent="0.2">
      <c r="E1046" s="56"/>
      <c r="G1046" s="3"/>
      <c r="H1046" s="3"/>
      <c r="I1046" s="3"/>
      <c r="J1046" s="3"/>
    </row>
    <row r="1047" spans="5:10" x14ac:dyDescent="0.2">
      <c r="E1047" s="56"/>
      <c r="G1047" s="3"/>
      <c r="H1047" s="3"/>
      <c r="I1047" s="3"/>
      <c r="J1047" s="3"/>
    </row>
    <row r="1048" spans="5:10" x14ac:dyDescent="0.2">
      <c r="E1048" s="56"/>
      <c r="G1048" s="3"/>
      <c r="H1048" s="3"/>
      <c r="I1048" s="3"/>
      <c r="J1048" s="3"/>
    </row>
    <row r="1049" spans="5:10" x14ac:dyDescent="0.2">
      <c r="E1049" s="56"/>
      <c r="G1049" s="3"/>
      <c r="H1049" s="3"/>
      <c r="I1049" s="3"/>
      <c r="J1049" s="3"/>
    </row>
    <row r="1050" spans="5:10" x14ac:dyDescent="0.2">
      <c r="E1050" s="56"/>
      <c r="G1050" s="3"/>
      <c r="H1050" s="3"/>
      <c r="I1050" s="3"/>
      <c r="J1050" s="3"/>
    </row>
    <row r="1051" spans="5:10" x14ac:dyDescent="0.2">
      <c r="E1051" s="56"/>
      <c r="G1051" s="3"/>
      <c r="H1051" s="3"/>
      <c r="I1051" s="3"/>
      <c r="J1051" s="3"/>
    </row>
    <row r="1052" spans="5:10" x14ac:dyDescent="0.2">
      <c r="E1052" s="56"/>
      <c r="G1052" s="3"/>
      <c r="H1052" s="3"/>
      <c r="I1052" s="3"/>
      <c r="J1052" s="3"/>
    </row>
    <row r="1053" spans="5:10" x14ac:dyDescent="0.2">
      <c r="E1053" s="56"/>
      <c r="G1053" s="3"/>
      <c r="H1053" s="3"/>
      <c r="I1053" s="3"/>
      <c r="J1053" s="3"/>
    </row>
    <row r="1054" spans="5:10" x14ac:dyDescent="0.2">
      <c r="E1054" s="56"/>
      <c r="G1054" s="3"/>
      <c r="H1054" s="3"/>
      <c r="I1054" s="3"/>
      <c r="J1054" s="3"/>
    </row>
    <row r="1055" spans="5:10" x14ac:dyDescent="0.2">
      <c r="E1055" s="56"/>
      <c r="G1055" s="3"/>
      <c r="H1055" s="3"/>
      <c r="I1055" s="3"/>
      <c r="J1055" s="3"/>
    </row>
    <row r="1056" spans="5:10" x14ac:dyDescent="0.2">
      <c r="E1056" s="56"/>
      <c r="G1056" s="3"/>
      <c r="H1056" s="3"/>
      <c r="I1056" s="3"/>
      <c r="J1056" s="3"/>
    </row>
    <row r="1057" spans="5:10" x14ac:dyDescent="0.2">
      <c r="E1057" s="56"/>
      <c r="G1057" s="3"/>
      <c r="H1057" s="3"/>
      <c r="I1057" s="3"/>
      <c r="J1057" s="3"/>
    </row>
    <row r="1058" spans="5:10" x14ac:dyDescent="0.2">
      <c r="E1058" s="56"/>
      <c r="G1058" s="3"/>
      <c r="H1058" s="3"/>
      <c r="I1058" s="3"/>
      <c r="J1058" s="3"/>
    </row>
    <row r="1059" spans="5:10" x14ac:dyDescent="0.2">
      <c r="E1059" s="56"/>
      <c r="G1059" s="3"/>
      <c r="H1059" s="3"/>
      <c r="I1059" s="3"/>
      <c r="J1059" s="3"/>
    </row>
    <row r="1060" spans="5:10" x14ac:dyDescent="0.2">
      <c r="E1060" s="56"/>
      <c r="G1060" s="3"/>
      <c r="H1060" s="3"/>
      <c r="I1060" s="3"/>
      <c r="J1060" s="3"/>
    </row>
    <row r="1061" spans="5:10" x14ac:dyDescent="0.2">
      <c r="E1061" s="56"/>
      <c r="G1061" s="3"/>
      <c r="H1061" s="3"/>
      <c r="I1061" s="3"/>
      <c r="J1061" s="3"/>
    </row>
    <row r="1062" spans="5:10" x14ac:dyDescent="0.2">
      <c r="E1062" s="56"/>
      <c r="G1062" s="3"/>
      <c r="H1062" s="3"/>
      <c r="I1062" s="3"/>
      <c r="J1062" s="3"/>
    </row>
    <row r="1063" spans="5:10" x14ac:dyDescent="0.2">
      <c r="E1063" s="56"/>
      <c r="G1063" s="3"/>
      <c r="H1063" s="3"/>
      <c r="I1063" s="3"/>
      <c r="J1063" s="3"/>
    </row>
    <row r="1064" spans="5:10" x14ac:dyDescent="0.2">
      <c r="E1064" s="56"/>
      <c r="G1064" s="3"/>
      <c r="H1064" s="3"/>
      <c r="I1064" s="3"/>
      <c r="J1064" s="3"/>
    </row>
    <row r="1065" spans="5:10" x14ac:dyDescent="0.2">
      <c r="E1065" s="56"/>
      <c r="G1065" s="3"/>
      <c r="H1065" s="3"/>
      <c r="I1065" s="3"/>
      <c r="J1065" s="3"/>
    </row>
    <row r="1066" spans="5:10" x14ac:dyDescent="0.2">
      <c r="E1066" s="56"/>
      <c r="G1066" s="3"/>
      <c r="H1066" s="3"/>
      <c r="I1066" s="3"/>
      <c r="J1066" s="3"/>
    </row>
    <row r="1067" spans="5:10" x14ac:dyDescent="0.2">
      <c r="E1067" s="56"/>
      <c r="G1067" s="3"/>
      <c r="H1067" s="3"/>
      <c r="I1067" s="3"/>
      <c r="J1067" s="3"/>
    </row>
    <row r="1068" spans="5:10" x14ac:dyDescent="0.2">
      <c r="E1068" s="56"/>
      <c r="G1068" s="3"/>
      <c r="H1068" s="3"/>
      <c r="I1068" s="3"/>
      <c r="J1068" s="3"/>
    </row>
    <row r="1069" spans="5:10" x14ac:dyDescent="0.2">
      <c r="E1069" s="56"/>
      <c r="G1069" s="3"/>
      <c r="H1069" s="3"/>
      <c r="I1069" s="3"/>
      <c r="J1069" s="3"/>
    </row>
    <row r="1070" spans="5:10" x14ac:dyDescent="0.2">
      <c r="E1070" s="56"/>
      <c r="G1070" s="3"/>
      <c r="H1070" s="3"/>
      <c r="I1070" s="3"/>
      <c r="J1070" s="3"/>
    </row>
    <row r="1071" spans="5:10" x14ac:dyDescent="0.2">
      <c r="E1071" s="56"/>
      <c r="G1071" s="3"/>
      <c r="H1071" s="3"/>
      <c r="I1071" s="3"/>
      <c r="J1071" s="3"/>
    </row>
    <row r="1072" spans="5:10" x14ac:dyDescent="0.2">
      <c r="E1072" s="56"/>
      <c r="G1072" s="3"/>
      <c r="H1072" s="3"/>
      <c r="I1072" s="3"/>
      <c r="J1072" s="3"/>
    </row>
    <row r="1073" spans="5:10" x14ac:dyDescent="0.2">
      <c r="E1073" s="56"/>
      <c r="G1073" s="3"/>
      <c r="H1073" s="3"/>
      <c r="I1073" s="3"/>
      <c r="J1073" s="3"/>
    </row>
    <row r="1074" spans="5:10" x14ac:dyDescent="0.2">
      <c r="E1074" s="56"/>
      <c r="G1074" s="3"/>
      <c r="H1074" s="3"/>
      <c r="I1074" s="3"/>
      <c r="J1074" s="3"/>
    </row>
    <row r="1075" spans="5:10" x14ac:dyDescent="0.2">
      <c r="E1075" s="56"/>
      <c r="G1075" s="3"/>
      <c r="H1075" s="3"/>
      <c r="I1075" s="3"/>
      <c r="J1075" s="3"/>
    </row>
    <row r="1076" spans="5:10" x14ac:dyDescent="0.2">
      <c r="E1076" s="56"/>
      <c r="G1076" s="3"/>
      <c r="H1076" s="3"/>
      <c r="I1076" s="3"/>
      <c r="J1076" s="3"/>
    </row>
    <row r="1077" spans="5:10" x14ac:dyDescent="0.2">
      <c r="E1077" s="56"/>
      <c r="G1077" s="3"/>
      <c r="H1077" s="3"/>
      <c r="I1077" s="3"/>
      <c r="J1077" s="3"/>
    </row>
    <row r="1078" spans="5:10" x14ac:dyDescent="0.2">
      <c r="E1078" s="56"/>
      <c r="G1078" s="3"/>
      <c r="H1078" s="3"/>
      <c r="I1078" s="3"/>
      <c r="J1078" s="3"/>
    </row>
    <row r="1079" spans="5:10" x14ac:dyDescent="0.2">
      <c r="E1079" s="56"/>
      <c r="G1079" s="3"/>
      <c r="H1079" s="3"/>
      <c r="I1079" s="3"/>
      <c r="J1079" s="3"/>
    </row>
    <row r="1080" spans="5:10" x14ac:dyDescent="0.2">
      <c r="E1080" s="56"/>
      <c r="G1080" s="3"/>
      <c r="H1080" s="3"/>
      <c r="I1080" s="3"/>
      <c r="J1080" s="3"/>
    </row>
    <row r="1081" spans="5:10" x14ac:dyDescent="0.2">
      <c r="E1081" s="56"/>
      <c r="G1081" s="3"/>
      <c r="H1081" s="3"/>
      <c r="I1081" s="3"/>
      <c r="J1081" s="3"/>
    </row>
    <row r="1082" spans="5:10" x14ac:dyDescent="0.2">
      <c r="E1082" s="56"/>
      <c r="G1082" s="3"/>
      <c r="H1082" s="3"/>
      <c r="I1082" s="3"/>
      <c r="J1082" s="3"/>
    </row>
    <row r="1083" spans="5:10" x14ac:dyDescent="0.2">
      <c r="E1083" s="56"/>
      <c r="G1083" s="3"/>
      <c r="H1083" s="3"/>
      <c r="I1083" s="3"/>
      <c r="J1083" s="3"/>
    </row>
    <row r="1084" spans="5:10" x14ac:dyDescent="0.2">
      <c r="E1084" s="56"/>
      <c r="G1084" s="3"/>
      <c r="H1084" s="3"/>
      <c r="I1084" s="3"/>
      <c r="J1084" s="3"/>
    </row>
    <row r="1085" spans="5:10" x14ac:dyDescent="0.2">
      <c r="E1085" s="56"/>
      <c r="G1085" s="3"/>
      <c r="H1085" s="3"/>
      <c r="I1085" s="3"/>
      <c r="J1085" s="3"/>
    </row>
    <row r="1086" spans="5:10" x14ac:dyDescent="0.2">
      <c r="E1086" s="56"/>
      <c r="G1086" s="3"/>
      <c r="H1086" s="3"/>
      <c r="I1086" s="3"/>
      <c r="J1086" s="3"/>
    </row>
    <row r="1087" spans="5:10" x14ac:dyDescent="0.2">
      <c r="E1087" s="56"/>
      <c r="G1087" s="3"/>
      <c r="H1087" s="3"/>
      <c r="I1087" s="3"/>
      <c r="J1087" s="3"/>
    </row>
    <row r="1088" spans="5:10" x14ac:dyDescent="0.2">
      <c r="E1088" s="56"/>
      <c r="G1088" s="3"/>
      <c r="H1088" s="3"/>
      <c r="I1088" s="3"/>
      <c r="J1088" s="3"/>
    </row>
    <row r="1089" spans="5:10" x14ac:dyDescent="0.2">
      <c r="E1089" s="56"/>
      <c r="G1089" s="3"/>
      <c r="H1089" s="3"/>
      <c r="I1089" s="3"/>
      <c r="J1089" s="3"/>
    </row>
    <row r="1090" spans="5:10" x14ac:dyDescent="0.2">
      <c r="E1090" s="56"/>
      <c r="G1090" s="3"/>
      <c r="H1090" s="3"/>
      <c r="I1090" s="3"/>
      <c r="J1090" s="3"/>
    </row>
    <row r="1091" spans="5:10" x14ac:dyDescent="0.2">
      <c r="E1091" s="56"/>
      <c r="G1091" s="3"/>
      <c r="H1091" s="3"/>
      <c r="I1091" s="3"/>
      <c r="J1091" s="3"/>
    </row>
    <row r="1092" spans="5:10" x14ac:dyDescent="0.2">
      <c r="E1092" s="56"/>
      <c r="G1092" s="3"/>
      <c r="H1092" s="3"/>
      <c r="I1092" s="3"/>
      <c r="J1092" s="3"/>
    </row>
    <row r="1093" spans="5:10" x14ac:dyDescent="0.2">
      <c r="E1093" s="56"/>
      <c r="G1093" s="3"/>
      <c r="H1093" s="3"/>
      <c r="I1093" s="3"/>
      <c r="J1093" s="3"/>
    </row>
    <row r="1094" spans="5:10" x14ac:dyDescent="0.2">
      <c r="E1094" s="56"/>
      <c r="G1094" s="3"/>
      <c r="H1094" s="3"/>
      <c r="I1094" s="3"/>
      <c r="J1094" s="3"/>
    </row>
    <row r="1095" spans="5:10" x14ac:dyDescent="0.2">
      <c r="E1095" s="56"/>
      <c r="G1095" s="3"/>
      <c r="H1095" s="3"/>
      <c r="I1095" s="3"/>
      <c r="J1095" s="3"/>
    </row>
    <row r="1096" spans="5:10" x14ac:dyDescent="0.2">
      <c r="E1096" s="56"/>
      <c r="G1096" s="3"/>
      <c r="H1096" s="3"/>
      <c r="I1096" s="3"/>
      <c r="J1096" s="3"/>
    </row>
    <row r="1097" spans="5:10" x14ac:dyDescent="0.2">
      <c r="E1097" s="56"/>
      <c r="G1097" s="3"/>
      <c r="H1097" s="3"/>
      <c r="I1097" s="3"/>
      <c r="J1097" s="3"/>
    </row>
    <row r="1098" spans="5:10" x14ac:dyDescent="0.2">
      <c r="E1098" s="56"/>
      <c r="G1098" s="3"/>
      <c r="H1098" s="3"/>
      <c r="I1098" s="3"/>
      <c r="J1098" s="3"/>
    </row>
    <row r="1099" spans="5:10" x14ac:dyDescent="0.2">
      <c r="E1099" s="56"/>
      <c r="G1099" s="3"/>
      <c r="H1099" s="3"/>
      <c r="I1099" s="3"/>
      <c r="J1099" s="3"/>
    </row>
    <row r="1100" spans="5:10" x14ac:dyDescent="0.2">
      <c r="E1100" s="56"/>
      <c r="G1100" s="3"/>
      <c r="H1100" s="3"/>
      <c r="I1100" s="3"/>
      <c r="J1100" s="3"/>
    </row>
    <row r="1101" spans="5:10" x14ac:dyDescent="0.2">
      <c r="E1101" s="56"/>
      <c r="G1101" s="3"/>
      <c r="H1101" s="3"/>
      <c r="I1101" s="3"/>
      <c r="J1101" s="3"/>
    </row>
    <row r="1102" spans="5:10" x14ac:dyDescent="0.2">
      <c r="E1102" s="56"/>
      <c r="G1102" s="3"/>
      <c r="H1102" s="3"/>
      <c r="I1102" s="3"/>
      <c r="J1102" s="3"/>
    </row>
    <row r="1103" spans="5:10" x14ac:dyDescent="0.2">
      <c r="E1103" s="56"/>
      <c r="G1103" s="3"/>
      <c r="H1103" s="3"/>
      <c r="I1103" s="3"/>
      <c r="J1103" s="3"/>
    </row>
    <row r="1104" spans="5:10" x14ac:dyDescent="0.2">
      <c r="E1104" s="56"/>
      <c r="G1104" s="3"/>
      <c r="H1104" s="3"/>
      <c r="I1104" s="3"/>
      <c r="J1104" s="3"/>
    </row>
    <row r="1105" spans="5:10" x14ac:dyDescent="0.2">
      <c r="E1105" s="56"/>
      <c r="G1105" s="3"/>
      <c r="H1105" s="3"/>
      <c r="I1105" s="3"/>
      <c r="J1105" s="3"/>
    </row>
    <row r="1106" spans="5:10" x14ac:dyDescent="0.2">
      <c r="E1106" s="56"/>
      <c r="G1106" s="3"/>
      <c r="H1106" s="3"/>
      <c r="I1106" s="3"/>
      <c r="J1106" s="3"/>
    </row>
    <row r="1107" spans="5:10" x14ac:dyDescent="0.2">
      <c r="E1107" s="56"/>
      <c r="G1107" s="3"/>
      <c r="H1107" s="3"/>
      <c r="I1107" s="3"/>
      <c r="J1107" s="3"/>
    </row>
    <row r="1108" spans="5:10" x14ac:dyDescent="0.2">
      <c r="E1108" s="56"/>
      <c r="G1108" s="3"/>
      <c r="H1108" s="3"/>
      <c r="I1108" s="3"/>
      <c r="J1108" s="3"/>
    </row>
    <row r="1109" spans="5:10" x14ac:dyDescent="0.2">
      <c r="E1109" s="56"/>
      <c r="G1109" s="3"/>
      <c r="H1109" s="3"/>
      <c r="I1109" s="3"/>
      <c r="J1109" s="3"/>
    </row>
    <row r="1110" spans="5:10" x14ac:dyDescent="0.2">
      <c r="E1110" s="56"/>
      <c r="G1110" s="3"/>
      <c r="H1110" s="3"/>
      <c r="I1110" s="3"/>
      <c r="J1110" s="3"/>
    </row>
    <row r="1111" spans="5:10" x14ac:dyDescent="0.2">
      <c r="E1111" s="56"/>
      <c r="G1111" s="3"/>
      <c r="H1111" s="3"/>
      <c r="I1111" s="3"/>
      <c r="J1111" s="3"/>
    </row>
    <row r="1112" spans="5:10" x14ac:dyDescent="0.2">
      <c r="E1112" s="56"/>
      <c r="G1112" s="3"/>
      <c r="H1112" s="3"/>
      <c r="I1112" s="3"/>
      <c r="J1112" s="3"/>
    </row>
    <row r="1113" spans="5:10" x14ac:dyDescent="0.2">
      <c r="E1113" s="56"/>
      <c r="G1113" s="3"/>
      <c r="H1113" s="3"/>
      <c r="I1113" s="3"/>
      <c r="J1113" s="3"/>
    </row>
    <row r="1114" spans="5:10" x14ac:dyDescent="0.2">
      <c r="E1114" s="56"/>
      <c r="G1114" s="3"/>
      <c r="H1114" s="3"/>
      <c r="I1114" s="3"/>
      <c r="J1114" s="3"/>
    </row>
    <row r="1115" spans="5:10" x14ac:dyDescent="0.2">
      <c r="E1115" s="56"/>
      <c r="G1115" s="3"/>
      <c r="H1115" s="3"/>
      <c r="I1115" s="3"/>
      <c r="J1115" s="3"/>
    </row>
    <row r="1116" spans="5:10" x14ac:dyDescent="0.2">
      <c r="E1116" s="56"/>
      <c r="G1116" s="3"/>
      <c r="H1116" s="3"/>
      <c r="I1116" s="3"/>
      <c r="J1116" s="3"/>
    </row>
    <row r="1117" spans="5:10" x14ac:dyDescent="0.2">
      <c r="E1117" s="56"/>
      <c r="G1117" s="3"/>
      <c r="H1117" s="3"/>
      <c r="I1117" s="3"/>
      <c r="J1117" s="3"/>
    </row>
    <row r="1118" spans="5:10" x14ac:dyDescent="0.2">
      <c r="E1118" s="56"/>
      <c r="G1118" s="3"/>
      <c r="H1118" s="3"/>
      <c r="I1118" s="3"/>
      <c r="J1118" s="3"/>
    </row>
    <row r="1119" spans="5:10" x14ac:dyDescent="0.2">
      <c r="E1119" s="56"/>
      <c r="G1119" s="3"/>
      <c r="H1119" s="3"/>
      <c r="I1119" s="3"/>
      <c r="J1119" s="3"/>
    </row>
    <row r="1120" spans="5:10" x14ac:dyDescent="0.2">
      <c r="E1120" s="56"/>
      <c r="G1120" s="3"/>
      <c r="H1120" s="3"/>
      <c r="I1120" s="3"/>
      <c r="J1120" s="3"/>
    </row>
    <row r="1121" spans="5:10" x14ac:dyDescent="0.2">
      <c r="E1121" s="56"/>
      <c r="G1121" s="3"/>
      <c r="H1121" s="3"/>
      <c r="I1121" s="3"/>
      <c r="J1121" s="3"/>
    </row>
    <row r="1122" spans="5:10" x14ac:dyDescent="0.2">
      <c r="E1122" s="56"/>
      <c r="G1122" s="3"/>
      <c r="H1122" s="3"/>
      <c r="I1122" s="3"/>
      <c r="J1122" s="3"/>
    </row>
    <row r="1123" spans="5:10" x14ac:dyDescent="0.2">
      <c r="E1123" s="56"/>
      <c r="G1123" s="3"/>
      <c r="H1123" s="3"/>
      <c r="I1123" s="3"/>
      <c r="J1123" s="3"/>
    </row>
    <row r="1124" spans="5:10" x14ac:dyDescent="0.2">
      <c r="E1124" s="56"/>
      <c r="G1124" s="3"/>
      <c r="H1124" s="3"/>
      <c r="I1124" s="3"/>
      <c r="J1124" s="3"/>
    </row>
    <row r="1125" spans="5:10" x14ac:dyDescent="0.2">
      <c r="E1125" s="56"/>
      <c r="G1125" s="3"/>
      <c r="H1125" s="3"/>
      <c r="I1125" s="3"/>
      <c r="J1125" s="3"/>
    </row>
    <row r="1126" spans="5:10" x14ac:dyDescent="0.2">
      <c r="E1126" s="56"/>
      <c r="G1126" s="3"/>
      <c r="H1126" s="3"/>
      <c r="I1126" s="3"/>
      <c r="J1126" s="3"/>
    </row>
    <row r="1127" spans="5:10" x14ac:dyDescent="0.2">
      <c r="E1127" s="56"/>
      <c r="G1127" s="3"/>
      <c r="H1127" s="3"/>
      <c r="I1127" s="3"/>
      <c r="J1127" s="3"/>
    </row>
    <row r="1128" spans="5:10" x14ac:dyDescent="0.2">
      <c r="E1128" s="56"/>
      <c r="G1128" s="3"/>
      <c r="H1128" s="3"/>
      <c r="I1128" s="3"/>
      <c r="J1128" s="3"/>
    </row>
    <row r="1129" spans="5:10" x14ac:dyDescent="0.2">
      <c r="E1129" s="56"/>
      <c r="G1129" s="3"/>
      <c r="H1129" s="3"/>
      <c r="I1129" s="3"/>
      <c r="J1129" s="3"/>
    </row>
    <row r="1130" spans="5:10" x14ac:dyDescent="0.2">
      <c r="E1130" s="56"/>
      <c r="G1130" s="3"/>
      <c r="H1130" s="3"/>
      <c r="I1130" s="3"/>
      <c r="J1130" s="3"/>
    </row>
    <row r="1131" spans="5:10" x14ac:dyDescent="0.2">
      <c r="E1131" s="56"/>
      <c r="G1131" s="3"/>
      <c r="H1131" s="3"/>
      <c r="I1131" s="3"/>
      <c r="J1131" s="3"/>
    </row>
    <row r="1132" spans="5:10" x14ac:dyDescent="0.2">
      <c r="E1132" s="56"/>
      <c r="G1132" s="3"/>
      <c r="H1132" s="3"/>
      <c r="I1132" s="3"/>
      <c r="J1132" s="3"/>
    </row>
    <row r="1133" spans="5:10" x14ac:dyDescent="0.2">
      <c r="E1133" s="56"/>
      <c r="G1133" s="3"/>
      <c r="H1133" s="3"/>
      <c r="I1133" s="3"/>
      <c r="J1133" s="3"/>
    </row>
    <row r="1134" spans="5:10" x14ac:dyDescent="0.2">
      <c r="E1134" s="56"/>
      <c r="G1134" s="3"/>
      <c r="H1134" s="3"/>
      <c r="I1134" s="3"/>
      <c r="J1134" s="3"/>
    </row>
    <row r="1135" spans="5:10" x14ac:dyDescent="0.2">
      <c r="E1135" s="56"/>
      <c r="G1135" s="3"/>
      <c r="H1135" s="3"/>
      <c r="I1135" s="3"/>
      <c r="J1135" s="3"/>
    </row>
    <row r="1136" spans="5:10" x14ac:dyDescent="0.2">
      <c r="E1136" s="56"/>
      <c r="G1136" s="3"/>
      <c r="H1136" s="3"/>
      <c r="I1136" s="3"/>
      <c r="J1136" s="3"/>
    </row>
    <row r="1137" spans="5:10" x14ac:dyDescent="0.2">
      <c r="E1137" s="56"/>
      <c r="G1137" s="3"/>
      <c r="H1137" s="3"/>
      <c r="I1137" s="3"/>
      <c r="J1137" s="3"/>
    </row>
    <row r="1138" spans="5:10" x14ac:dyDescent="0.2">
      <c r="E1138" s="56"/>
      <c r="G1138" s="3"/>
      <c r="H1138" s="3"/>
      <c r="I1138" s="3"/>
      <c r="J1138" s="3"/>
    </row>
    <row r="1139" spans="5:10" x14ac:dyDescent="0.2">
      <c r="E1139" s="56"/>
      <c r="G1139" s="3"/>
      <c r="H1139" s="3"/>
      <c r="I1139" s="3"/>
      <c r="J1139" s="3"/>
    </row>
    <row r="1140" spans="5:10" x14ac:dyDescent="0.2">
      <c r="E1140" s="56"/>
      <c r="G1140" s="3"/>
      <c r="H1140" s="3"/>
      <c r="I1140" s="3"/>
      <c r="J1140" s="3"/>
    </row>
    <row r="1141" spans="5:10" x14ac:dyDescent="0.2">
      <c r="E1141" s="56"/>
      <c r="G1141" s="3"/>
      <c r="H1141" s="3"/>
      <c r="I1141" s="3"/>
      <c r="J1141" s="3"/>
    </row>
    <row r="1142" spans="5:10" x14ac:dyDescent="0.2">
      <c r="E1142" s="56"/>
      <c r="G1142" s="3"/>
      <c r="H1142" s="3"/>
      <c r="I1142" s="3"/>
      <c r="J1142" s="3"/>
    </row>
    <row r="1143" spans="5:10" x14ac:dyDescent="0.2">
      <c r="E1143" s="56"/>
      <c r="G1143" s="3"/>
      <c r="H1143" s="3"/>
      <c r="I1143" s="3"/>
      <c r="J1143" s="3"/>
    </row>
    <row r="1144" spans="5:10" x14ac:dyDescent="0.2">
      <c r="E1144" s="56"/>
      <c r="G1144" s="3"/>
      <c r="H1144" s="3"/>
      <c r="I1144" s="3"/>
      <c r="J1144" s="3"/>
    </row>
    <row r="1145" spans="5:10" x14ac:dyDescent="0.2">
      <c r="E1145" s="56"/>
      <c r="G1145" s="3"/>
      <c r="H1145" s="3"/>
      <c r="I1145" s="3"/>
      <c r="J1145" s="3"/>
    </row>
    <row r="1146" spans="5:10" x14ac:dyDescent="0.2">
      <c r="E1146" s="56"/>
      <c r="G1146" s="3"/>
      <c r="H1146" s="3"/>
      <c r="I1146" s="3"/>
      <c r="J1146" s="3"/>
    </row>
    <row r="1147" spans="5:10" x14ac:dyDescent="0.2">
      <c r="E1147" s="56"/>
      <c r="G1147" s="3"/>
      <c r="H1147" s="3"/>
      <c r="I1147" s="3"/>
      <c r="J1147" s="3"/>
    </row>
    <row r="1148" spans="5:10" x14ac:dyDescent="0.2">
      <c r="E1148" s="56"/>
      <c r="G1148" s="3"/>
      <c r="H1148" s="3"/>
      <c r="I1148" s="3"/>
      <c r="J1148" s="3"/>
    </row>
    <row r="1149" spans="5:10" x14ac:dyDescent="0.2">
      <c r="E1149" s="56"/>
      <c r="G1149" s="3"/>
      <c r="H1149" s="3"/>
      <c r="I1149" s="3"/>
      <c r="J1149" s="3"/>
    </row>
    <row r="1150" spans="5:10" x14ac:dyDescent="0.2">
      <c r="E1150" s="56"/>
      <c r="G1150" s="3"/>
      <c r="H1150" s="3"/>
      <c r="I1150" s="3"/>
      <c r="J1150" s="3"/>
    </row>
    <row r="1151" spans="5:10" x14ac:dyDescent="0.2">
      <c r="E1151" s="56"/>
      <c r="G1151" s="3"/>
      <c r="H1151" s="3"/>
      <c r="I1151" s="3"/>
      <c r="J1151" s="3"/>
    </row>
    <row r="1152" spans="5:10" x14ac:dyDescent="0.2">
      <c r="E1152" s="56"/>
      <c r="G1152" s="3"/>
      <c r="H1152" s="3"/>
      <c r="I1152" s="3"/>
      <c r="J1152" s="3"/>
    </row>
    <row r="1153" spans="5:10" x14ac:dyDescent="0.2">
      <c r="E1153" s="56"/>
      <c r="G1153" s="3"/>
      <c r="H1153" s="3"/>
      <c r="I1153" s="3"/>
      <c r="J1153" s="3"/>
    </row>
    <row r="1154" spans="5:10" x14ac:dyDescent="0.2">
      <c r="E1154" s="56"/>
      <c r="G1154" s="3"/>
      <c r="H1154" s="3"/>
      <c r="I1154" s="3"/>
      <c r="J1154" s="3"/>
    </row>
    <row r="1155" spans="5:10" x14ac:dyDescent="0.2">
      <c r="E1155" s="56"/>
      <c r="G1155" s="3"/>
      <c r="H1155" s="3"/>
      <c r="I1155" s="3"/>
      <c r="J1155" s="3"/>
    </row>
    <row r="1156" spans="5:10" x14ac:dyDescent="0.2">
      <c r="E1156" s="56"/>
      <c r="G1156" s="3"/>
      <c r="H1156" s="3"/>
      <c r="I1156" s="3"/>
      <c r="J1156" s="3"/>
    </row>
    <row r="1157" spans="5:10" x14ac:dyDescent="0.2">
      <c r="E1157" s="56"/>
      <c r="G1157" s="3"/>
      <c r="H1157" s="3"/>
      <c r="I1157" s="3"/>
      <c r="J1157" s="3"/>
    </row>
    <row r="1158" spans="5:10" x14ac:dyDescent="0.2">
      <c r="E1158" s="56"/>
      <c r="G1158" s="3"/>
      <c r="H1158" s="3"/>
      <c r="I1158" s="3"/>
      <c r="J1158" s="3"/>
    </row>
    <row r="1159" spans="5:10" x14ac:dyDescent="0.2">
      <c r="E1159" s="56"/>
      <c r="G1159" s="3"/>
      <c r="H1159" s="3"/>
      <c r="I1159" s="3"/>
      <c r="J1159" s="3"/>
    </row>
    <row r="1160" spans="5:10" x14ac:dyDescent="0.2">
      <c r="E1160" s="56"/>
      <c r="G1160" s="3"/>
      <c r="H1160" s="3"/>
      <c r="I1160" s="3"/>
      <c r="J1160" s="3"/>
    </row>
    <row r="1161" spans="5:10" x14ac:dyDescent="0.2">
      <c r="E1161" s="56"/>
      <c r="G1161" s="3"/>
      <c r="H1161" s="3"/>
      <c r="I1161" s="3"/>
      <c r="J1161" s="3"/>
    </row>
    <row r="1162" spans="5:10" x14ac:dyDescent="0.2">
      <c r="E1162" s="56"/>
      <c r="G1162" s="3"/>
      <c r="H1162" s="3"/>
      <c r="I1162" s="3"/>
      <c r="J1162" s="3"/>
    </row>
    <row r="1163" spans="5:10" x14ac:dyDescent="0.2">
      <c r="E1163" s="56"/>
      <c r="G1163" s="3"/>
      <c r="H1163" s="3"/>
      <c r="I1163" s="3"/>
      <c r="J1163" s="3"/>
    </row>
    <row r="1164" spans="5:10" x14ac:dyDescent="0.2">
      <c r="E1164" s="56"/>
      <c r="G1164" s="3"/>
      <c r="H1164" s="3"/>
      <c r="I1164" s="3"/>
      <c r="J1164" s="3"/>
    </row>
    <row r="1165" spans="5:10" x14ac:dyDescent="0.2">
      <c r="E1165" s="56"/>
      <c r="G1165" s="3"/>
      <c r="H1165" s="3"/>
      <c r="I1165" s="3"/>
      <c r="J1165" s="3"/>
    </row>
    <row r="1166" spans="5:10" x14ac:dyDescent="0.2">
      <c r="E1166" s="56"/>
      <c r="G1166" s="3"/>
      <c r="H1166" s="3"/>
      <c r="I1166" s="3"/>
      <c r="J1166" s="3"/>
    </row>
    <row r="1167" spans="5:10" x14ac:dyDescent="0.2">
      <c r="E1167" s="56"/>
      <c r="G1167" s="3"/>
      <c r="H1167" s="3"/>
      <c r="I1167" s="3"/>
      <c r="J1167" s="3"/>
    </row>
    <row r="1168" spans="5:10" x14ac:dyDescent="0.2">
      <c r="E1168" s="56"/>
      <c r="G1168" s="3"/>
      <c r="H1168" s="3"/>
      <c r="I1168" s="3"/>
      <c r="J1168" s="3"/>
    </row>
    <row r="1169" spans="5:10" x14ac:dyDescent="0.2">
      <c r="E1169" s="56"/>
      <c r="G1169" s="3"/>
      <c r="H1169" s="3"/>
      <c r="I1169" s="3"/>
      <c r="J1169" s="3"/>
    </row>
    <row r="1170" spans="5:10" x14ac:dyDescent="0.2">
      <c r="E1170" s="56"/>
      <c r="G1170" s="3"/>
      <c r="H1170" s="3"/>
      <c r="I1170" s="3"/>
      <c r="J1170" s="3"/>
    </row>
    <row r="1171" spans="5:10" x14ac:dyDescent="0.2">
      <c r="E1171" s="56"/>
      <c r="G1171" s="3"/>
      <c r="H1171" s="3"/>
      <c r="I1171" s="3"/>
      <c r="J1171" s="3"/>
    </row>
    <row r="1172" spans="5:10" x14ac:dyDescent="0.2">
      <c r="E1172" s="56"/>
      <c r="G1172" s="3"/>
      <c r="H1172" s="3"/>
      <c r="I1172" s="3"/>
      <c r="J1172" s="3"/>
    </row>
    <row r="1173" spans="5:10" x14ac:dyDescent="0.2">
      <c r="E1173" s="56"/>
      <c r="G1173" s="3"/>
      <c r="H1173" s="3"/>
      <c r="I1173" s="3"/>
      <c r="J1173" s="3"/>
    </row>
    <row r="1174" spans="5:10" x14ac:dyDescent="0.2">
      <c r="E1174" s="56"/>
      <c r="G1174" s="3"/>
      <c r="H1174" s="3"/>
      <c r="I1174" s="3"/>
      <c r="J1174" s="3"/>
    </row>
    <row r="1175" spans="5:10" x14ac:dyDescent="0.2">
      <c r="E1175" s="56"/>
      <c r="G1175" s="3"/>
      <c r="H1175" s="3"/>
      <c r="I1175" s="3"/>
      <c r="J1175" s="3"/>
    </row>
    <row r="1176" spans="5:10" x14ac:dyDescent="0.2">
      <c r="E1176" s="56"/>
      <c r="G1176" s="3"/>
      <c r="H1176" s="3"/>
      <c r="I1176" s="3"/>
      <c r="J1176" s="3"/>
    </row>
    <row r="1177" spans="5:10" x14ac:dyDescent="0.2">
      <c r="E1177" s="56"/>
      <c r="G1177" s="3"/>
      <c r="H1177" s="3"/>
      <c r="I1177" s="3"/>
      <c r="J1177" s="3"/>
    </row>
    <row r="1178" spans="5:10" x14ac:dyDescent="0.2">
      <c r="E1178" s="56"/>
      <c r="G1178" s="3"/>
      <c r="H1178" s="3"/>
      <c r="I1178" s="3"/>
      <c r="J1178" s="3"/>
    </row>
    <row r="1179" spans="5:10" x14ac:dyDescent="0.2">
      <c r="E1179" s="56"/>
      <c r="G1179" s="3"/>
      <c r="H1179" s="3"/>
      <c r="I1179" s="3"/>
      <c r="J1179" s="3"/>
    </row>
    <row r="1180" spans="5:10" x14ac:dyDescent="0.2">
      <c r="E1180" s="56"/>
      <c r="G1180" s="3"/>
      <c r="H1180" s="3"/>
      <c r="I1180" s="3"/>
      <c r="J1180" s="3"/>
    </row>
    <row r="1181" spans="5:10" x14ac:dyDescent="0.2">
      <c r="E1181" s="56"/>
      <c r="G1181" s="3"/>
      <c r="H1181" s="3"/>
      <c r="I1181" s="3"/>
      <c r="J1181" s="3"/>
    </row>
    <row r="1182" spans="5:10" x14ac:dyDescent="0.2">
      <c r="E1182" s="56"/>
      <c r="G1182" s="3"/>
      <c r="H1182" s="3"/>
      <c r="I1182" s="3"/>
      <c r="J1182" s="3"/>
    </row>
    <row r="1183" spans="5:10" x14ac:dyDescent="0.2">
      <c r="E1183" s="56"/>
      <c r="G1183" s="3"/>
      <c r="H1183" s="3"/>
      <c r="I1183" s="3"/>
      <c r="J1183" s="3"/>
    </row>
    <row r="1184" spans="5:10" x14ac:dyDescent="0.2">
      <c r="E1184" s="56"/>
      <c r="G1184" s="3"/>
      <c r="H1184" s="3"/>
      <c r="I1184" s="3"/>
      <c r="J1184" s="3"/>
    </row>
    <row r="1185" spans="5:10" x14ac:dyDescent="0.2">
      <c r="E1185" s="56"/>
      <c r="G1185" s="3"/>
      <c r="H1185" s="3"/>
      <c r="I1185" s="3"/>
      <c r="J1185" s="3"/>
    </row>
    <row r="1186" spans="5:10" x14ac:dyDescent="0.2">
      <c r="E1186" s="56"/>
      <c r="G1186" s="3"/>
      <c r="H1186" s="3"/>
      <c r="I1186" s="3"/>
      <c r="J1186" s="3"/>
    </row>
    <row r="1187" spans="5:10" x14ac:dyDescent="0.2">
      <c r="E1187" s="56"/>
      <c r="G1187" s="3"/>
      <c r="H1187" s="3"/>
      <c r="I1187" s="3"/>
      <c r="J1187" s="3"/>
    </row>
    <row r="1188" spans="5:10" x14ac:dyDescent="0.2">
      <c r="E1188" s="56"/>
      <c r="G1188" s="3"/>
      <c r="H1188" s="3"/>
      <c r="I1188" s="3"/>
      <c r="J1188" s="3"/>
    </row>
    <row r="1189" spans="5:10" x14ac:dyDescent="0.2">
      <c r="E1189" s="56"/>
      <c r="G1189" s="3"/>
      <c r="H1189" s="3"/>
      <c r="I1189" s="3"/>
      <c r="J1189" s="3"/>
    </row>
    <row r="1190" spans="5:10" x14ac:dyDescent="0.2">
      <c r="E1190" s="56"/>
      <c r="G1190" s="3"/>
      <c r="H1190" s="3"/>
      <c r="I1190" s="3"/>
      <c r="J1190" s="3"/>
    </row>
    <row r="1191" spans="5:10" x14ac:dyDescent="0.2">
      <c r="E1191" s="56"/>
      <c r="G1191" s="3"/>
      <c r="H1191" s="3"/>
      <c r="I1191" s="3"/>
      <c r="J1191" s="3"/>
    </row>
    <row r="1192" spans="5:10" x14ac:dyDescent="0.2">
      <c r="E1192" s="56"/>
      <c r="G1192" s="3"/>
      <c r="H1192" s="3"/>
      <c r="I1192" s="3"/>
      <c r="J1192" s="3"/>
    </row>
    <row r="1193" spans="5:10" x14ac:dyDescent="0.2">
      <c r="E1193" s="56"/>
      <c r="G1193" s="3"/>
      <c r="H1193" s="3"/>
      <c r="I1193" s="3"/>
      <c r="J1193" s="3"/>
    </row>
    <row r="1194" spans="5:10" x14ac:dyDescent="0.2">
      <c r="E1194" s="56"/>
      <c r="G1194" s="3"/>
      <c r="H1194" s="3"/>
      <c r="I1194" s="3"/>
      <c r="J1194" s="3"/>
    </row>
    <row r="1195" spans="5:10" x14ac:dyDescent="0.2">
      <c r="E1195" s="56"/>
      <c r="G1195" s="3"/>
      <c r="H1195" s="3"/>
      <c r="I1195" s="3"/>
      <c r="J1195" s="3"/>
    </row>
    <row r="1196" spans="5:10" x14ac:dyDescent="0.2">
      <c r="E1196" s="56"/>
      <c r="G1196" s="3"/>
      <c r="H1196" s="3"/>
      <c r="I1196" s="3"/>
      <c r="J1196" s="3"/>
    </row>
    <row r="1197" spans="5:10" x14ac:dyDescent="0.2">
      <c r="E1197" s="56"/>
      <c r="G1197" s="3"/>
      <c r="H1197" s="3"/>
      <c r="I1197" s="3"/>
      <c r="J1197" s="3"/>
    </row>
    <row r="1198" spans="5:10" x14ac:dyDescent="0.2">
      <c r="E1198" s="56"/>
      <c r="G1198" s="3"/>
      <c r="H1198" s="3"/>
      <c r="I1198" s="3"/>
      <c r="J1198" s="3"/>
    </row>
    <row r="1199" spans="5:10" x14ac:dyDescent="0.2">
      <c r="E1199" s="56"/>
      <c r="G1199" s="3"/>
      <c r="H1199" s="3"/>
      <c r="I1199" s="3"/>
      <c r="J1199" s="3"/>
    </row>
    <row r="1200" spans="5:10" x14ac:dyDescent="0.2">
      <c r="E1200" s="56"/>
      <c r="G1200" s="3"/>
      <c r="H1200" s="3"/>
      <c r="I1200" s="3"/>
      <c r="J1200" s="3"/>
    </row>
    <row r="1201" spans="5:10" x14ac:dyDescent="0.2">
      <c r="E1201" s="56"/>
      <c r="G1201" s="3"/>
      <c r="H1201" s="3"/>
      <c r="I1201" s="3"/>
      <c r="J1201" s="3"/>
    </row>
    <row r="1202" spans="5:10" x14ac:dyDescent="0.2">
      <c r="E1202" s="56"/>
      <c r="G1202" s="3"/>
      <c r="H1202" s="3"/>
      <c r="I1202" s="3"/>
      <c r="J1202" s="3"/>
    </row>
    <row r="1203" spans="5:10" x14ac:dyDescent="0.2">
      <c r="E1203" s="56"/>
      <c r="G1203" s="3"/>
      <c r="H1203" s="3"/>
      <c r="I1203" s="3"/>
      <c r="J1203" s="3"/>
    </row>
    <row r="1204" spans="5:10" x14ac:dyDescent="0.2">
      <c r="E1204" s="56"/>
      <c r="G1204" s="3"/>
      <c r="H1204" s="3"/>
      <c r="I1204" s="3"/>
      <c r="J1204" s="3"/>
    </row>
    <row r="1205" spans="5:10" x14ac:dyDescent="0.2">
      <c r="E1205" s="56"/>
      <c r="G1205" s="3"/>
      <c r="H1205" s="3"/>
      <c r="I1205" s="3"/>
      <c r="J1205" s="3"/>
    </row>
    <row r="1206" spans="5:10" x14ac:dyDescent="0.2">
      <c r="E1206" s="56"/>
      <c r="G1206" s="3"/>
      <c r="H1206" s="3"/>
      <c r="I1206" s="3"/>
      <c r="J1206" s="3"/>
    </row>
    <row r="1207" spans="5:10" x14ac:dyDescent="0.2">
      <c r="E1207" s="56"/>
      <c r="G1207" s="3"/>
      <c r="H1207" s="3"/>
      <c r="I1207" s="3"/>
      <c r="J1207" s="3"/>
    </row>
    <row r="1208" spans="5:10" x14ac:dyDescent="0.2">
      <c r="E1208" s="56"/>
      <c r="G1208" s="3"/>
      <c r="H1208" s="3"/>
      <c r="I1208" s="3"/>
      <c r="J1208" s="3"/>
    </row>
    <row r="1209" spans="5:10" x14ac:dyDescent="0.2">
      <c r="E1209" s="56"/>
      <c r="G1209" s="3"/>
      <c r="H1209" s="3"/>
      <c r="I1209" s="3"/>
      <c r="J1209" s="3"/>
    </row>
    <row r="1210" spans="5:10" x14ac:dyDescent="0.2">
      <c r="E1210" s="56"/>
      <c r="G1210" s="3"/>
      <c r="H1210" s="3"/>
      <c r="I1210" s="3"/>
      <c r="J1210" s="3"/>
    </row>
    <row r="1211" spans="5:10" x14ac:dyDescent="0.2">
      <c r="E1211" s="56"/>
      <c r="G1211" s="3"/>
      <c r="H1211" s="3"/>
      <c r="I1211" s="3"/>
      <c r="J1211" s="3"/>
    </row>
    <row r="1212" spans="5:10" x14ac:dyDescent="0.2">
      <c r="E1212" s="56"/>
      <c r="G1212" s="3"/>
      <c r="H1212" s="3"/>
      <c r="I1212" s="3"/>
      <c r="J1212" s="3"/>
    </row>
    <row r="1213" spans="5:10" x14ac:dyDescent="0.2">
      <c r="E1213" s="56"/>
      <c r="G1213" s="3"/>
      <c r="H1213" s="3"/>
      <c r="I1213" s="3"/>
      <c r="J1213" s="3"/>
    </row>
    <row r="1214" spans="5:10" x14ac:dyDescent="0.2">
      <c r="E1214" s="56"/>
      <c r="G1214" s="3"/>
      <c r="H1214" s="3"/>
      <c r="I1214" s="3"/>
      <c r="J1214" s="3"/>
    </row>
    <row r="1215" spans="5:10" x14ac:dyDescent="0.2">
      <c r="E1215" s="56"/>
      <c r="G1215" s="3"/>
      <c r="H1215" s="3"/>
      <c r="I1215" s="3"/>
      <c r="J1215" s="3"/>
    </row>
    <row r="1216" spans="5:10" x14ac:dyDescent="0.2">
      <c r="E1216" s="56"/>
      <c r="G1216" s="3"/>
      <c r="H1216" s="3"/>
      <c r="I1216" s="3"/>
      <c r="J1216" s="3"/>
    </row>
    <row r="1217" spans="5:10" x14ac:dyDescent="0.2">
      <c r="E1217" s="56"/>
      <c r="G1217" s="3"/>
      <c r="H1217" s="3"/>
      <c r="I1217" s="3"/>
      <c r="J1217" s="3"/>
    </row>
    <row r="1218" spans="5:10" x14ac:dyDescent="0.2">
      <c r="E1218" s="56"/>
      <c r="G1218" s="3"/>
      <c r="H1218" s="3"/>
      <c r="I1218" s="3"/>
      <c r="J1218" s="3"/>
    </row>
    <row r="1219" spans="5:10" x14ac:dyDescent="0.2">
      <c r="E1219" s="56"/>
      <c r="G1219" s="3"/>
      <c r="H1219" s="3"/>
      <c r="I1219" s="3"/>
      <c r="J1219" s="3"/>
    </row>
    <row r="1220" spans="5:10" x14ac:dyDescent="0.2">
      <c r="E1220" s="56"/>
      <c r="G1220" s="3"/>
      <c r="H1220" s="3"/>
      <c r="I1220" s="3"/>
      <c r="J1220" s="3"/>
    </row>
    <row r="1221" spans="5:10" x14ac:dyDescent="0.2">
      <c r="E1221" s="56"/>
      <c r="G1221" s="3"/>
      <c r="H1221" s="3"/>
      <c r="I1221" s="3"/>
      <c r="J1221" s="3"/>
    </row>
    <row r="1222" spans="5:10" x14ac:dyDescent="0.2">
      <c r="E1222" s="56"/>
      <c r="G1222" s="3"/>
      <c r="H1222" s="3"/>
      <c r="I1222" s="3"/>
      <c r="J1222" s="3"/>
    </row>
    <row r="1223" spans="5:10" x14ac:dyDescent="0.2">
      <c r="E1223" s="56"/>
      <c r="G1223" s="3"/>
      <c r="H1223" s="3"/>
      <c r="I1223" s="3"/>
      <c r="J1223" s="3"/>
    </row>
    <row r="1224" spans="5:10" x14ac:dyDescent="0.2">
      <c r="E1224" s="56"/>
      <c r="G1224" s="3"/>
      <c r="H1224" s="3"/>
      <c r="I1224" s="3"/>
      <c r="J1224" s="3"/>
    </row>
    <row r="1225" spans="5:10" x14ac:dyDescent="0.2">
      <c r="E1225" s="56"/>
      <c r="G1225" s="3"/>
      <c r="H1225" s="3"/>
      <c r="I1225" s="3"/>
      <c r="J1225" s="3"/>
    </row>
    <row r="1226" spans="5:10" x14ac:dyDescent="0.2">
      <c r="E1226" s="56"/>
      <c r="G1226" s="3"/>
      <c r="H1226" s="3"/>
      <c r="I1226" s="3"/>
      <c r="J1226" s="3"/>
    </row>
    <row r="1227" spans="5:10" x14ac:dyDescent="0.2">
      <c r="E1227" s="56"/>
      <c r="G1227" s="3"/>
      <c r="H1227" s="3"/>
      <c r="I1227" s="3"/>
      <c r="J1227" s="3"/>
    </row>
    <row r="1228" spans="5:10" x14ac:dyDescent="0.2">
      <c r="E1228" s="56"/>
      <c r="G1228" s="3"/>
      <c r="H1228" s="3"/>
      <c r="I1228" s="3"/>
      <c r="J1228" s="3"/>
    </row>
    <row r="1229" spans="5:10" x14ac:dyDescent="0.2">
      <c r="E1229" s="56"/>
      <c r="G1229" s="3"/>
      <c r="H1229" s="3"/>
      <c r="I1229" s="3"/>
      <c r="J1229" s="3"/>
    </row>
    <row r="1230" spans="5:10" x14ac:dyDescent="0.2">
      <c r="E1230" s="56"/>
      <c r="G1230" s="3"/>
      <c r="H1230" s="3"/>
      <c r="I1230" s="3"/>
      <c r="J1230" s="3"/>
    </row>
    <row r="1231" spans="5:10" x14ac:dyDescent="0.2">
      <c r="E1231" s="56"/>
      <c r="G1231" s="3"/>
      <c r="H1231" s="3"/>
      <c r="I1231" s="3"/>
      <c r="J1231" s="3"/>
    </row>
    <row r="1232" spans="5:10" x14ac:dyDescent="0.2">
      <c r="E1232" s="56"/>
      <c r="G1232" s="3"/>
      <c r="H1232" s="3"/>
      <c r="I1232" s="3"/>
      <c r="J1232" s="3"/>
    </row>
    <row r="1233" spans="5:10" x14ac:dyDescent="0.2">
      <c r="E1233" s="56"/>
      <c r="G1233" s="3"/>
      <c r="H1233" s="3"/>
      <c r="I1233" s="3"/>
      <c r="J1233" s="3"/>
    </row>
    <row r="1234" spans="5:10" x14ac:dyDescent="0.2">
      <c r="E1234" s="56"/>
      <c r="G1234" s="3"/>
      <c r="H1234" s="3"/>
      <c r="I1234" s="3"/>
      <c r="J1234" s="3"/>
    </row>
    <row r="1235" spans="5:10" x14ac:dyDescent="0.2">
      <c r="E1235" s="56"/>
      <c r="G1235" s="3"/>
      <c r="H1235" s="3"/>
      <c r="I1235" s="3"/>
      <c r="J1235" s="3"/>
    </row>
    <row r="1236" spans="5:10" x14ac:dyDescent="0.2">
      <c r="E1236" s="56"/>
      <c r="G1236" s="3"/>
      <c r="H1236" s="3"/>
      <c r="I1236" s="3"/>
      <c r="J1236" s="3"/>
    </row>
    <row r="1237" spans="5:10" x14ac:dyDescent="0.2">
      <c r="E1237" s="56"/>
      <c r="G1237" s="3"/>
      <c r="H1237" s="3"/>
      <c r="I1237" s="3"/>
      <c r="J1237" s="3"/>
    </row>
    <row r="1238" spans="5:10" x14ac:dyDescent="0.2">
      <c r="E1238" s="56"/>
      <c r="G1238" s="3"/>
      <c r="H1238" s="3"/>
      <c r="I1238" s="3"/>
      <c r="J1238" s="3"/>
    </row>
    <row r="1239" spans="5:10" x14ac:dyDescent="0.2">
      <c r="E1239" s="56"/>
      <c r="G1239" s="3"/>
      <c r="H1239" s="3"/>
      <c r="I1239" s="3"/>
      <c r="J1239" s="3"/>
    </row>
  </sheetData>
  <conditionalFormatting sqref="S3:W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9CB8-90B9-4595-AB0F-FF9B4F18773B}">
  <dimension ref="A1:L1478"/>
  <sheetViews>
    <sheetView topLeftCell="A97" workbookViewId="0">
      <selection activeCell="A2" sqref="A2"/>
    </sheetView>
  </sheetViews>
  <sheetFormatPr defaultColWidth="9.140625" defaultRowHeight="15" x14ac:dyDescent="0.25"/>
  <cols>
    <col min="1" max="1" width="48.5703125" style="58" customWidth="1"/>
    <col min="2" max="2" width="32.5703125" style="58" customWidth="1"/>
    <col min="3" max="3" width="25.42578125" style="58" customWidth="1"/>
    <col min="4" max="4" width="48.5703125" style="58" customWidth="1"/>
    <col min="5" max="5" width="16.5703125" style="58" customWidth="1"/>
    <col min="6" max="6" width="29.28515625" style="58" customWidth="1"/>
  </cols>
  <sheetData>
    <row r="1" spans="1:12" ht="39.950000000000003" customHeight="1" x14ac:dyDescent="0.25">
      <c r="A1" s="89"/>
      <c r="B1" s="89"/>
      <c r="C1" s="89"/>
      <c r="D1" s="89"/>
    </row>
    <row r="2" spans="1:12" ht="30" customHeight="1" x14ac:dyDescent="0.3">
      <c r="A2" s="66" t="s">
        <v>210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x14ac:dyDescent="0.2">
      <c r="A3" s="88"/>
      <c r="B3" s="88"/>
      <c r="C3" s="88"/>
      <c r="D3" s="88"/>
      <c r="E3" s="88"/>
      <c r="F3" s="88"/>
    </row>
    <row r="4" spans="1:12" x14ac:dyDescent="0.2">
      <c r="A4" s="88" t="s">
        <v>190</v>
      </c>
      <c r="B4" s="88"/>
      <c r="C4" s="88"/>
      <c r="D4" s="88"/>
      <c r="E4" s="88"/>
      <c r="F4" s="88"/>
    </row>
    <row r="5" spans="1:12" x14ac:dyDescent="0.2">
      <c r="A5" s="88"/>
      <c r="B5" s="88"/>
      <c r="C5" s="88"/>
      <c r="D5" s="88"/>
      <c r="E5" s="88"/>
      <c r="F5" s="88"/>
    </row>
    <row r="6" spans="1:12" x14ac:dyDescent="0.25">
      <c r="A6" s="59"/>
    </row>
    <row r="7" spans="1:12" x14ac:dyDescent="0.25">
      <c r="A7" s="59" t="s">
        <v>189</v>
      </c>
    </row>
    <row r="8" spans="1:12" x14ac:dyDescent="0.25">
      <c r="A8" s="59" t="s">
        <v>134</v>
      </c>
    </row>
    <row r="9" spans="1:12" x14ac:dyDescent="0.25">
      <c r="A9" s="59"/>
    </row>
    <row r="10" spans="1:12" x14ac:dyDescent="0.2">
      <c r="A10" s="88"/>
      <c r="B10" s="88"/>
      <c r="C10" s="88"/>
      <c r="D10" s="88"/>
      <c r="E10" s="88"/>
      <c r="F10" s="88"/>
    </row>
    <row r="11" spans="1:12" x14ac:dyDescent="0.2">
      <c r="A11" s="88"/>
      <c r="B11" s="88"/>
      <c r="C11" s="88"/>
      <c r="D11" s="88"/>
      <c r="E11" s="88"/>
      <c r="F11" s="88"/>
    </row>
    <row r="12" spans="1:12" x14ac:dyDescent="0.2">
      <c r="A12" s="88"/>
      <c r="B12" s="88"/>
      <c r="C12" s="88"/>
      <c r="D12" s="88"/>
      <c r="E12" s="88"/>
      <c r="F12" s="88"/>
    </row>
    <row r="13" spans="1:12" x14ac:dyDescent="0.2">
      <c r="A13" s="88"/>
      <c r="B13" s="88"/>
      <c r="C13" s="88"/>
      <c r="D13" s="88"/>
      <c r="E13" s="88"/>
      <c r="F13" s="88"/>
    </row>
    <row r="14" spans="1:12" x14ac:dyDescent="0.2">
      <c r="A14" s="88"/>
      <c r="B14" s="88"/>
      <c r="C14" s="88"/>
      <c r="D14" s="88"/>
      <c r="E14" s="88"/>
      <c r="F14" s="88"/>
    </row>
    <row r="15" spans="1:12" x14ac:dyDescent="0.2">
      <c r="A15" s="88"/>
      <c r="B15" s="88"/>
      <c r="C15" s="88"/>
      <c r="D15" s="88"/>
      <c r="E15" s="88"/>
      <c r="F15" s="88"/>
    </row>
    <row r="16" spans="1:12" x14ac:dyDescent="0.2">
      <c r="A16" s="88"/>
      <c r="B16" s="88"/>
      <c r="C16" s="88"/>
      <c r="D16" s="88"/>
      <c r="E16" s="88"/>
      <c r="F16" s="88"/>
    </row>
    <row r="17" spans="1:6" x14ac:dyDescent="0.2">
      <c r="A17" s="88"/>
      <c r="B17" s="88"/>
      <c r="C17" s="88"/>
      <c r="D17" s="88"/>
      <c r="E17" s="88"/>
      <c r="F17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88"/>
      <c r="B22" s="88"/>
      <c r="C22" s="88"/>
      <c r="D22" s="88"/>
      <c r="E22" s="88"/>
      <c r="F22" s="88"/>
    </row>
    <row r="23" spans="1:6" x14ac:dyDescent="0.2">
      <c r="A23" s="88"/>
      <c r="B23" s="88"/>
      <c r="C23" s="88"/>
      <c r="D23" s="88"/>
      <c r="E23" s="88"/>
      <c r="F23" s="88"/>
    </row>
    <row r="24" spans="1:6" x14ac:dyDescent="0.2">
      <c r="A24" s="88"/>
      <c r="B24" s="88"/>
      <c r="C24" s="88"/>
      <c r="D24" s="88"/>
      <c r="E24" s="88"/>
      <c r="F24" s="88"/>
    </row>
    <row r="25" spans="1:6" x14ac:dyDescent="0.2">
      <c r="A25" s="88"/>
      <c r="B25" s="88"/>
      <c r="C25" s="88"/>
      <c r="D25" s="88"/>
      <c r="E25" s="88"/>
      <c r="F25" s="88"/>
    </row>
    <row r="26" spans="1:6" x14ac:dyDescent="0.2">
      <c r="A26" s="88"/>
      <c r="B26" s="88"/>
      <c r="C26" s="88"/>
      <c r="D26" s="88"/>
      <c r="E26" s="88"/>
      <c r="F26" s="88"/>
    </row>
    <row r="27" spans="1:6" x14ac:dyDescent="0.2">
      <c r="A27" s="88"/>
      <c r="B27" s="88"/>
      <c r="C27" s="88"/>
      <c r="D27" s="88"/>
      <c r="E27" s="88"/>
      <c r="F27" s="88"/>
    </row>
    <row r="28" spans="1:6" x14ac:dyDescent="0.2">
      <c r="A28" s="88"/>
      <c r="B28" s="88"/>
      <c r="C28" s="88"/>
      <c r="D28" s="88"/>
      <c r="E28" s="88"/>
      <c r="F28" s="88"/>
    </row>
    <row r="29" spans="1:6" x14ac:dyDescent="0.2">
      <c r="A29" s="88"/>
      <c r="B29" s="88"/>
      <c r="C29" s="88"/>
      <c r="D29" s="88"/>
      <c r="E29" s="88"/>
      <c r="F29" s="88"/>
    </row>
    <row r="30" spans="1:6" x14ac:dyDescent="0.2">
      <c r="A30" s="88"/>
      <c r="B30" s="88"/>
      <c r="C30" s="88"/>
      <c r="D30" s="88"/>
      <c r="E30" s="88"/>
      <c r="F30" s="88"/>
    </row>
    <row r="31" spans="1:6" x14ac:dyDescent="0.2">
      <c r="A31" s="88"/>
      <c r="B31" s="88"/>
      <c r="C31" s="88"/>
      <c r="D31" s="88"/>
      <c r="E31" s="88"/>
      <c r="F31" s="88"/>
    </row>
    <row r="32" spans="1:6" x14ac:dyDescent="0.2">
      <c r="A32" s="88"/>
      <c r="B32" s="88"/>
      <c r="C32" s="88"/>
      <c r="D32" s="88"/>
      <c r="E32" s="88"/>
      <c r="F32" s="88"/>
    </row>
    <row r="33" spans="1:6" x14ac:dyDescent="0.2">
      <c r="A33" s="88"/>
      <c r="B33" s="88"/>
      <c r="C33" s="88"/>
      <c r="D33" s="88"/>
      <c r="E33" s="88"/>
      <c r="F33" s="88"/>
    </row>
    <row r="34" spans="1:6" x14ac:dyDescent="0.2">
      <c r="A34" s="88"/>
      <c r="B34" s="88"/>
      <c r="C34" s="88"/>
      <c r="D34" s="88"/>
      <c r="E34" s="88"/>
      <c r="F34" s="88"/>
    </row>
    <row r="35" spans="1:6" x14ac:dyDescent="0.2">
      <c r="A35" s="88"/>
      <c r="B35" s="88"/>
      <c r="C35" s="88"/>
      <c r="D35" s="88"/>
      <c r="E35" s="88"/>
      <c r="F35" s="88"/>
    </row>
    <row r="36" spans="1:6" x14ac:dyDescent="0.2">
      <c r="A36" s="88"/>
      <c r="B36" s="88"/>
      <c r="C36" s="88"/>
      <c r="D36" s="88"/>
      <c r="E36" s="88"/>
      <c r="F36" s="88"/>
    </row>
    <row r="37" spans="1:6" x14ac:dyDescent="0.2">
      <c r="A37" s="88"/>
      <c r="B37" s="88"/>
      <c r="C37" s="88"/>
      <c r="D37" s="88"/>
      <c r="E37" s="88"/>
      <c r="F37" s="88"/>
    </row>
    <row r="38" spans="1:6" x14ac:dyDescent="0.2">
      <c r="A38" s="88"/>
      <c r="B38" s="88"/>
      <c r="C38" s="88"/>
      <c r="D38" s="88"/>
      <c r="E38" s="88"/>
      <c r="F38" s="88"/>
    </row>
    <row r="39" spans="1:6" x14ac:dyDescent="0.2">
      <c r="A39" s="88"/>
      <c r="B39" s="88"/>
      <c r="C39" s="88"/>
      <c r="D39" s="88"/>
      <c r="E39" s="88"/>
      <c r="F39" s="88"/>
    </row>
    <row r="40" spans="1:6" x14ac:dyDescent="0.2">
      <c r="A40" s="88"/>
      <c r="B40" s="88"/>
      <c r="C40" s="88"/>
      <c r="D40" s="88"/>
      <c r="E40" s="88"/>
      <c r="F40" s="88"/>
    </row>
    <row r="41" spans="1:6" x14ac:dyDescent="0.2">
      <c r="A41" s="88"/>
      <c r="B41" s="88"/>
      <c r="C41" s="88"/>
      <c r="D41" s="88"/>
      <c r="E41" s="88"/>
      <c r="F41" s="88"/>
    </row>
    <row r="42" spans="1:6" x14ac:dyDescent="0.2">
      <c r="A42" s="88"/>
      <c r="B42" s="88"/>
      <c r="C42" s="88"/>
      <c r="D42" s="88"/>
      <c r="E42" s="88"/>
      <c r="F42" s="88"/>
    </row>
    <row r="43" spans="1:6" x14ac:dyDescent="0.2">
      <c r="A43" s="88"/>
      <c r="B43" s="88"/>
      <c r="C43" s="88"/>
      <c r="D43" s="88"/>
      <c r="E43" s="88"/>
      <c r="F43" s="88"/>
    </row>
    <row r="44" spans="1:6" x14ac:dyDescent="0.2">
      <c r="A44" s="88"/>
      <c r="B44" s="88"/>
      <c r="C44" s="88"/>
      <c r="D44" s="88"/>
      <c r="E44" s="88"/>
      <c r="F44" s="88"/>
    </row>
    <row r="45" spans="1:6" x14ac:dyDescent="0.2">
      <c r="A45" s="64" t="s">
        <v>133</v>
      </c>
      <c r="B45" s="64" t="s">
        <v>132</v>
      </c>
      <c r="C45" s="64" t="s">
        <v>131</v>
      </c>
      <c r="D45" s="64" t="s">
        <v>130</v>
      </c>
      <c r="E45" s="64" t="s">
        <v>129</v>
      </c>
      <c r="F45" s="64" t="s">
        <v>128</v>
      </c>
    </row>
    <row r="46" spans="1:6" x14ac:dyDescent="0.2">
      <c r="A46" s="59" t="s">
        <v>188</v>
      </c>
      <c r="B46" s="59" t="s">
        <v>117</v>
      </c>
      <c r="C46" s="59" t="s">
        <v>187</v>
      </c>
      <c r="D46" s="59" t="s">
        <v>186</v>
      </c>
      <c r="E46" s="59" t="s">
        <v>185</v>
      </c>
      <c r="F46" s="59" t="s">
        <v>184</v>
      </c>
    </row>
    <row r="47" spans="1:6" x14ac:dyDescent="0.2">
      <c r="A47" s="59" t="s">
        <v>183</v>
      </c>
      <c r="B47" s="59" t="s">
        <v>117</v>
      </c>
      <c r="C47" s="59" t="s">
        <v>182</v>
      </c>
      <c r="D47" s="59" t="s">
        <v>181</v>
      </c>
      <c r="E47" s="59" t="s">
        <v>180</v>
      </c>
      <c r="F47" s="59" t="s">
        <v>179</v>
      </c>
    </row>
    <row r="48" spans="1:6" x14ac:dyDescent="0.2">
      <c r="A48" s="59" t="s">
        <v>173</v>
      </c>
      <c r="B48" s="59" t="s">
        <v>117</v>
      </c>
      <c r="C48" s="59" t="s">
        <v>178</v>
      </c>
      <c r="D48" s="59" t="s">
        <v>177</v>
      </c>
      <c r="E48" s="59" t="s">
        <v>176</v>
      </c>
      <c r="F48" s="59" t="s">
        <v>175</v>
      </c>
    </row>
    <row r="49" spans="1:6" x14ac:dyDescent="0.2">
      <c r="A49" s="88"/>
      <c r="B49" s="88"/>
      <c r="C49" s="88"/>
      <c r="D49" s="88"/>
      <c r="E49" s="88"/>
      <c r="F49" s="88"/>
    </row>
    <row r="50" spans="1:6" x14ac:dyDescent="0.2">
      <c r="A50" s="88"/>
      <c r="B50" s="88"/>
      <c r="C50" s="88"/>
      <c r="D50" s="88"/>
      <c r="E50" s="88"/>
      <c r="F50" s="88"/>
    </row>
    <row r="51" spans="1:6" x14ac:dyDescent="0.25">
      <c r="A51" s="64" t="s">
        <v>112</v>
      </c>
      <c r="B51" s="64" t="s">
        <v>174</v>
      </c>
      <c r="C51" s="64" t="s">
        <v>173</v>
      </c>
      <c r="D51" s="64" t="s">
        <v>172</v>
      </c>
    </row>
    <row r="52" spans="1:6" x14ac:dyDescent="0.25">
      <c r="A52" s="62">
        <v>46185</v>
      </c>
      <c r="B52" s="60">
        <v>49.611115490951398</v>
      </c>
      <c r="C52" s="61">
        <v>108218</v>
      </c>
      <c r="D52" s="60">
        <v>-34.927964153784743</v>
      </c>
    </row>
    <row r="53" spans="1:6" x14ac:dyDescent="0.25">
      <c r="A53" s="62">
        <v>46184</v>
      </c>
      <c r="B53" s="60">
        <v>54.602321073707287</v>
      </c>
      <c r="C53" s="61">
        <v>44897</v>
      </c>
      <c r="D53" s="60">
        <v>-35.76300826229923</v>
      </c>
    </row>
    <row r="54" spans="1:6" x14ac:dyDescent="0.25">
      <c r="A54" s="62">
        <v>46183</v>
      </c>
      <c r="B54" s="60">
        <v>56.380234173447107</v>
      </c>
      <c r="C54" s="61">
        <v>95952</v>
      </c>
      <c r="D54" s="60">
        <v>-35.432933829353331</v>
      </c>
    </row>
    <row r="55" spans="1:6" x14ac:dyDescent="0.25">
      <c r="A55" s="62">
        <v>46182</v>
      </c>
      <c r="B55" s="60">
        <v>53.368112285814505</v>
      </c>
      <c r="C55" s="61">
        <v>36150</v>
      </c>
      <c r="D55" s="60">
        <v>-35.755898334221762</v>
      </c>
    </row>
    <row r="56" spans="1:6" x14ac:dyDescent="0.25">
      <c r="A56" s="62">
        <v>46181</v>
      </c>
      <c r="B56" s="60">
        <v>52.177399842869463</v>
      </c>
      <c r="C56" s="61">
        <v>46593</v>
      </c>
      <c r="D56" s="60">
        <v>-36.143988906529934</v>
      </c>
    </row>
    <row r="57" spans="1:6" x14ac:dyDescent="0.25">
      <c r="A57" s="62">
        <v>46178</v>
      </c>
      <c r="B57" s="60">
        <v>50.894257666910448</v>
      </c>
      <c r="C57" s="61">
        <v>24257</v>
      </c>
      <c r="D57" s="60">
        <v>-35.308524906320372</v>
      </c>
    </row>
    <row r="58" spans="1:6" x14ac:dyDescent="0.25">
      <c r="A58" s="62">
        <v>46177</v>
      </c>
      <c r="B58" s="60">
        <v>50.187442061509287</v>
      </c>
      <c r="C58" s="61">
        <v>419031</v>
      </c>
      <c r="D58" s="60">
        <v>-35.211475072577038</v>
      </c>
    </row>
    <row r="59" spans="1:6" x14ac:dyDescent="0.25">
      <c r="A59" s="62">
        <v>46176</v>
      </c>
      <c r="B59" s="60">
        <v>51.432524935638995</v>
      </c>
      <c r="C59" s="61">
        <v>399831</v>
      </c>
      <c r="D59" s="60">
        <v>-34.813002297569149</v>
      </c>
    </row>
    <row r="60" spans="1:6" x14ac:dyDescent="0.25">
      <c r="A60" s="62">
        <v>46175</v>
      </c>
      <c r="B60" s="60">
        <v>52.090407152973945</v>
      </c>
      <c r="C60" s="61">
        <v>37248</v>
      </c>
      <c r="D60" s="60">
        <v>-34.018249330394518</v>
      </c>
    </row>
    <row r="61" spans="1:6" x14ac:dyDescent="0.25">
      <c r="A61" s="62">
        <v>46174</v>
      </c>
      <c r="B61" s="60">
        <v>51.269413642084885</v>
      </c>
      <c r="C61" s="61">
        <v>26370</v>
      </c>
      <c r="D61" s="60">
        <v>-33.96796182203159</v>
      </c>
    </row>
    <row r="62" spans="1:6" x14ac:dyDescent="0.25">
      <c r="A62" s="62">
        <v>46171</v>
      </c>
      <c r="B62" s="60">
        <v>54.721936022313621</v>
      </c>
      <c r="C62" s="61">
        <v>238845</v>
      </c>
      <c r="D62" s="60">
        <v>-33.894827926903169</v>
      </c>
    </row>
    <row r="63" spans="1:6" x14ac:dyDescent="0.25">
      <c r="A63" s="62">
        <v>46170</v>
      </c>
      <c r="B63" s="63" t="s">
        <v>108</v>
      </c>
      <c r="C63" s="63" t="s">
        <v>108</v>
      </c>
      <c r="D63" s="60">
        <v>-34.407498883441875</v>
      </c>
    </row>
    <row r="64" spans="1:6" x14ac:dyDescent="0.25">
      <c r="A64" s="62">
        <v>46169</v>
      </c>
      <c r="B64" s="60">
        <v>55.216706946094455</v>
      </c>
      <c r="C64" s="61">
        <v>31087</v>
      </c>
      <c r="D64" s="60">
        <v>-33.978923562720148</v>
      </c>
    </row>
    <row r="65" spans="1:4" x14ac:dyDescent="0.25">
      <c r="A65" s="62">
        <v>46168</v>
      </c>
      <c r="B65" s="60">
        <v>55.379818239648571</v>
      </c>
      <c r="C65" s="61">
        <v>96914</v>
      </c>
      <c r="D65" s="60">
        <v>-33.841447095527847</v>
      </c>
    </row>
    <row r="66" spans="1:4" x14ac:dyDescent="0.25">
      <c r="A66" s="62">
        <v>46167</v>
      </c>
      <c r="B66" s="60">
        <v>53.737831217870479</v>
      </c>
      <c r="C66" s="61">
        <v>56926</v>
      </c>
      <c r="D66" s="60">
        <v>-33.447650810316723</v>
      </c>
    </row>
    <row r="67" spans="1:4" x14ac:dyDescent="0.25">
      <c r="A67" s="62">
        <v>46164</v>
      </c>
      <c r="B67" s="60">
        <v>54.765432367261397</v>
      </c>
      <c r="C67" s="61">
        <v>62718</v>
      </c>
      <c r="D67" s="60">
        <v>-33.499467063848044</v>
      </c>
    </row>
    <row r="68" spans="1:4" x14ac:dyDescent="0.25">
      <c r="A68" s="62">
        <v>46163</v>
      </c>
      <c r="B68" s="60">
        <v>52.889652491389093</v>
      </c>
      <c r="C68" s="61">
        <v>35981</v>
      </c>
      <c r="D68" s="60">
        <v>-33.315335987666465</v>
      </c>
    </row>
    <row r="69" spans="1:4" x14ac:dyDescent="0.25">
      <c r="A69" s="62">
        <v>46162</v>
      </c>
      <c r="B69" s="60">
        <v>54.43920978015317</v>
      </c>
      <c r="C69" s="61">
        <v>38166</v>
      </c>
      <c r="D69" s="60">
        <v>-33.070287995970652</v>
      </c>
    </row>
    <row r="70" spans="1:4" x14ac:dyDescent="0.25">
      <c r="A70" s="62">
        <v>46161</v>
      </c>
      <c r="B70" s="60">
        <v>55.657107438690552</v>
      </c>
      <c r="C70" s="61">
        <v>120221</v>
      </c>
      <c r="D70" s="60">
        <v>-32.709571570036566</v>
      </c>
    </row>
    <row r="71" spans="1:4" x14ac:dyDescent="0.25">
      <c r="A71" s="62">
        <v>46160</v>
      </c>
      <c r="B71" s="60">
        <v>55.760411257941499</v>
      </c>
      <c r="C71" s="61">
        <v>83636</v>
      </c>
      <c r="D71" s="60">
        <v>-32.50439240098904</v>
      </c>
    </row>
    <row r="72" spans="1:4" x14ac:dyDescent="0.25">
      <c r="A72" s="62">
        <v>46157</v>
      </c>
      <c r="B72" s="60">
        <v>55.532055446965728</v>
      </c>
      <c r="C72" s="61">
        <v>52349</v>
      </c>
      <c r="D72" s="60">
        <v>-31.691663193505825</v>
      </c>
    </row>
    <row r="73" spans="1:4" x14ac:dyDescent="0.25">
      <c r="A73" s="62">
        <v>46156</v>
      </c>
      <c r="B73" s="60">
        <v>58.723599757507898</v>
      </c>
      <c r="C73" s="61">
        <v>45577</v>
      </c>
      <c r="D73" s="60">
        <v>-31.143389382301546</v>
      </c>
    </row>
    <row r="74" spans="1:4" x14ac:dyDescent="0.25">
      <c r="A74" s="62">
        <v>46155</v>
      </c>
      <c r="B74" s="60">
        <v>59.691393432595618</v>
      </c>
      <c r="C74" s="61">
        <v>47706</v>
      </c>
      <c r="D74" s="60">
        <v>-31.151637784405509</v>
      </c>
    </row>
    <row r="75" spans="1:4" x14ac:dyDescent="0.25">
      <c r="A75" s="62">
        <v>46154</v>
      </c>
      <c r="B75" s="60">
        <v>59.69683047571408</v>
      </c>
      <c r="C75" s="61">
        <v>24644</v>
      </c>
      <c r="D75" s="60">
        <v>-31.071028525394244</v>
      </c>
    </row>
    <row r="76" spans="1:4" x14ac:dyDescent="0.25">
      <c r="A76" s="62">
        <v>46153</v>
      </c>
      <c r="B76" s="60">
        <v>61.012594910383946</v>
      </c>
      <c r="C76" s="61">
        <v>32056</v>
      </c>
      <c r="D76" s="60">
        <v>-30.158153921501317</v>
      </c>
    </row>
    <row r="77" spans="1:4" x14ac:dyDescent="0.25">
      <c r="A77" s="62">
        <v>46150</v>
      </c>
      <c r="B77" s="60">
        <v>61.175706203938063</v>
      </c>
      <c r="C77" s="61">
        <v>143890</v>
      </c>
      <c r="D77" s="60">
        <v>-29.877007033313102</v>
      </c>
    </row>
    <row r="78" spans="1:4" x14ac:dyDescent="0.25">
      <c r="A78" s="62">
        <v>46149</v>
      </c>
      <c r="B78" s="60">
        <v>60.506949900366187</v>
      </c>
      <c r="C78" s="61">
        <v>78902</v>
      </c>
      <c r="D78" s="60">
        <v>-29.720195622504828</v>
      </c>
    </row>
    <row r="79" spans="1:4" x14ac:dyDescent="0.25">
      <c r="A79" s="62">
        <v>46148</v>
      </c>
      <c r="B79" s="60">
        <v>61.63241782588959</v>
      </c>
      <c r="C79" s="61">
        <v>167469</v>
      </c>
      <c r="D79" s="60">
        <v>-29.996024728023027</v>
      </c>
    </row>
    <row r="80" spans="1:4" x14ac:dyDescent="0.25">
      <c r="A80" s="62">
        <v>46147</v>
      </c>
      <c r="B80" s="60">
        <v>60.561320331550895</v>
      </c>
      <c r="C80" s="61">
        <v>139937</v>
      </c>
      <c r="D80" s="60">
        <v>-30.373047837358101</v>
      </c>
    </row>
    <row r="81" spans="1:4" x14ac:dyDescent="0.25">
      <c r="A81" s="62">
        <v>46146</v>
      </c>
      <c r="B81" s="60">
        <v>58.429999429110481</v>
      </c>
      <c r="C81" s="61">
        <v>35413</v>
      </c>
      <c r="D81" s="60">
        <v>-30.319806749611796</v>
      </c>
    </row>
    <row r="82" spans="1:4" x14ac:dyDescent="0.25">
      <c r="A82" s="62">
        <v>46143</v>
      </c>
      <c r="B82" s="63" t="s">
        <v>108</v>
      </c>
      <c r="C82" s="63" t="s">
        <v>108</v>
      </c>
      <c r="D82" s="60">
        <v>-30.525381585229461</v>
      </c>
    </row>
    <row r="83" spans="1:4" x14ac:dyDescent="0.25">
      <c r="A83" s="62">
        <v>46142</v>
      </c>
      <c r="B83" s="60">
        <v>58.522429162124475</v>
      </c>
      <c r="C83" s="61">
        <v>193503</v>
      </c>
      <c r="D83" s="60">
        <v>-30.533254028827869</v>
      </c>
    </row>
    <row r="84" spans="1:4" x14ac:dyDescent="0.25">
      <c r="A84" s="62">
        <v>46141</v>
      </c>
      <c r="B84" s="60">
        <v>59.424978319790561</v>
      </c>
      <c r="C84" s="61">
        <v>78958</v>
      </c>
      <c r="D84" s="60">
        <v>-29.8249893584142</v>
      </c>
    </row>
    <row r="85" spans="1:4" x14ac:dyDescent="0.25">
      <c r="A85" s="62">
        <v>46140</v>
      </c>
      <c r="B85" s="60">
        <v>56.575967725712069</v>
      </c>
      <c r="C85" s="61">
        <v>59313</v>
      </c>
      <c r="D85" s="60">
        <v>-30.385590173968133</v>
      </c>
    </row>
    <row r="86" spans="1:4" x14ac:dyDescent="0.25">
      <c r="A86" s="62">
        <v>46139</v>
      </c>
      <c r="B86" s="60">
        <v>54.009683373793997</v>
      </c>
      <c r="C86" s="61">
        <v>48341</v>
      </c>
      <c r="D86" s="60">
        <v>-30.03482916474545</v>
      </c>
    </row>
    <row r="87" spans="1:4" x14ac:dyDescent="0.25">
      <c r="A87" s="62">
        <v>46136</v>
      </c>
      <c r="B87" s="60">
        <v>54.526202470048695</v>
      </c>
      <c r="C87" s="61">
        <v>101499</v>
      </c>
      <c r="D87" s="60">
        <v>-29.883145929275855</v>
      </c>
    </row>
    <row r="88" spans="1:4" x14ac:dyDescent="0.25">
      <c r="A88" s="62">
        <v>46135</v>
      </c>
      <c r="B88" s="60">
        <v>53.33005298398519</v>
      </c>
      <c r="C88" s="61">
        <v>113556</v>
      </c>
      <c r="D88" s="60">
        <v>-29.568553067264641</v>
      </c>
    </row>
    <row r="89" spans="1:4" x14ac:dyDescent="0.25">
      <c r="A89" s="62">
        <v>46134</v>
      </c>
      <c r="B89" s="60">
        <v>51.769621608984181</v>
      </c>
      <c r="C89" s="61">
        <v>652822</v>
      </c>
      <c r="D89" s="60">
        <v>-29.214963655833582</v>
      </c>
    </row>
    <row r="90" spans="1:4" x14ac:dyDescent="0.25">
      <c r="A90" s="62">
        <v>46133</v>
      </c>
      <c r="B90" s="60">
        <v>49.921026948704224</v>
      </c>
      <c r="C90" s="61">
        <v>586525</v>
      </c>
      <c r="D90" s="60">
        <v>-29.182983418424538</v>
      </c>
    </row>
    <row r="91" spans="1:4" x14ac:dyDescent="0.25">
      <c r="A91" s="62">
        <v>46132</v>
      </c>
      <c r="B91" s="60">
        <v>39.99298621437719</v>
      </c>
      <c r="C91" s="61">
        <v>72470</v>
      </c>
      <c r="D91" s="60">
        <v>-29.663317785092396</v>
      </c>
    </row>
    <row r="92" spans="1:4" x14ac:dyDescent="0.25">
      <c r="A92" s="62">
        <v>46129</v>
      </c>
      <c r="B92" s="60">
        <v>39.802689705230726</v>
      </c>
      <c r="C92" s="61">
        <v>76558</v>
      </c>
      <c r="D92" s="60">
        <v>-29.661353898035816</v>
      </c>
    </row>
    <row r="93" spans="1:4" x14ac:dyDescent="0.25">
      <c r="A93" s="62">
        <v>46128</v>
      </c>
      <c r="B93" s="60">
        <v>36.855812335019728</v>
      </c>
      <c r="C93" s="61">
        <v>104549</v>
      </c>
      <c r="D93" s="60">
        <v>-29.985166068734252</v>
      </c>
    </row>
    <row r="94" spans="1:4" x14ac:dyDescent="0.25">
      <c r="A94" s="62">
        <v>46127</v>
      </c>
      <c r="B94" s="60">
        <v>36.611145394688556</v>
      </c>
      <c r="C94" s="61">
        <v>72755</v>
      </c>
      <c r="D94" s="60">
        <v>-30.135848306109885</v>
      </c>
    </row>
    <row r="95" spans="1:4" x14ac:dyDescent="0.25">
      <c r="A95" s="62">
        <v>46126</v>
      </c>
      <c r="B95" s="63" t="s">
        <v>108</v>
      </c>
      <c r="C95" s="63" t="s">
        <v>108</v>
      </c>
      <c r="D95" s="60">
        <v>-30.643566498887107</v>
      </c>
    </row>
    <row r="96" spans="1:4" x14ac:dyDescent="0.25">
      <c r="A96" s="62">
        <v>46125</v>
      </c>
      <c r="B96" s="60">
        <v>33.397852911672523</v>
      </c>
      <c r="C96" s="61">
        <v>23819</v>
      </c>
      <c r="D96" s="60">
        <v>-30.920669037795363</v>
      </c>
    </row>
    <row r="97" spans="1:4" x14ac:dyDescent="0.25">
      <c r="A97" s="62">
        <v>46122</v>
      </c>
      <c r="B97" s="60">
        <v>35.817337099391878</v>
      </c>
      <c r="C97" s="61">
        <v>33698</v>
      </c>
      <c r="D97" s="60">
        <v>-30.126841678620217</v>
      </c>
    </row>
    <row r="98" spans="1:4" x14ac:dyDescent="0.25">
      <c r="A98" s="62">
        <v>46121</v>
      </c>
      <c r="B98" s="60">
        <v>33.647956895122157</v>
      </c>
      <c r="C98" s="61">
        <v>34136</v>
      </c>
      <c r="D98" s="60">
        <v>-30.404757776424475</v>
      </c>
    </row>
    <row r="99" spans="1:4" x14ac:dyDescent="0.25">
      <c r="A99" s="62">
        <v>46120</v>
      </c>
      <c r="B99" s="60">
        <v>31.924414226567038</v>
      </c>
      <c r="C99" s="61">
        <v>82261</v>
      </c>
      <c r="D99" s="60">
        <v>-29.916649219549555</v>
      </c>
    </row>
    <row r="100" spans="1:4" x14ac:dyDescent="0.25">
      <c r="A100" s="62">
        <v>46119</v>
      </c>
      <c r="B100" s="60">
        <v>33.049882152090412</v>
      </c>
      <c r="C100" s="61">
        <v>37664</v>
      </c>
      <c r="D100" s="60">
        <v>-31.022967988576063</v>
      </c>
    </row>
    <row r="101" spans="1:4" x14ac:dyDescent="0.25">
      <c r="A101" s="62">
        <v>46118</v>
      </c>
      <c r="B101" s="60">
        <v>32.179955253135134</v>
      </c>
      <c r="C101" s="61">
        <v>53330</v>
      </c>
      <c r="D101" s="60">
        <v>-31.12341999551283</v>
      </c>
    </row>
    <row r="102" spans="1:4" x14ac:dyDescent="0.25">
      <c r="A102" s="62">
        <v>46115</v>
      </c>
      <c r="B102" s="63" t="s">
        <v>108</v>
      </c>
      <c r="C102" s="63" t="s">
        <v>108</v>
      </c>
      <c r="D102" s="60">
        <v>-31.356603085718337</v>
      </c>
    </row>
    <row r="103" spans="1:4" x14ac:dyDescent="0.25">
      <c r="A103" s="62">
        <v>46114</v>
      </c>
      <c r="B103" s="60">
        <v>29.575611599387788</v>
      </c>
      <c r="C103" s="61">
        <v>24555</v>
      </c>
      <c r="D103" s="60">
        <v>-31.355518562069417</v>
      </c>
    </row>
    <row r="104" spans="1:4" x14ac:dyDescent="0.25">
      <c r="A104" s="62">
        <v>46113</v>
      </c>
      <c r="B104" s="60">
        <v>28.395773242679706</v>
      </c>
      <c r="C104" s="61">
        <v>67523</v>
      </c>
      <c r="D104" s="60">
        <v>-31.899499239586927</v>
      </c>
    </row>
    <row r="105" spans="1:4" x14ac:dyDescent="0.25">
      <c r="A105" s="62">
        <v>46112</v>
      </c>
      <c r="B105" s="63" t="s">
        <v>108</v>
      </c>
      <c r="C105" s="63" t="s">
        <v>108</v>
      </c>
      <c r="D105" s="60">
        <v>-33.048510362632086</v>
      </c>
    </row>
    <row r="106" spans="1:4" x14ac:dyDescent="0.25">
      <c r="A106" s="62">
        <v>46111</v>
      </c>
      <c r="B106" s="60">
        <v>27.748765111581719</v>
      </c>
      <c r="C106" s="61">
        <v>63757</v>
      </c>
      <c r="D106" s="60">
        <v>-33.113452511969996</v>
      </c>
    </row>
    <row r="107" spans="1:4" x14ac:dyDescent="0.25">
      <c r="A107" s="62">
        <v>46108</v>
      </c>
      <c r="B107" s="60">
        <v>29.863774884666729</v>
      </c>
      <c r="C107" s="61">
        <v>68599</v>
      </c>
      <c r="D107" s="60">
        <v>-32.821552389159066</v>
      </c>
    </row>
    <row r="108" spans="1:4" x14ac:dyDescent="0.25">
      <c r="A108" s="62">
        <v>46107</v>
      </c>
      <c r="B108" s="63" t="s">
        <v>108</v>
      </c>
      <c r="C108" s="63" t="s">
        <v>108</v>
      </c>
      <c r="D108" s="60">
        <v>-32.684639223639017</v>
      </c>
    </row>
    <row r="109" spans="1:4" x14ac:dyDescent="0.25">
      <c r="A109" s="62">
        <v>46106</v>
      </c>
      <c r="B109" s="60">
        <v>30.956620551479286</v>
      </c>
      <c r="C109" s="61">
        <v>58483</v>
      </c>
      <c r="D109" s="60">
        <v>-32.089681222410583</v>
      </c>
    </row>
    <row r="110" spans="1:4" x14ac:dyDescent="0.25">
      <c r="A110" s="62">
        <v>46105</v>
      </c>
      <c r="B110" s="60">
        <v>28.624129053655459</v>
      </c>
      <c r="C110" s="61">
        <v>14484</v>
      </c>
      <c r="D110" s="60">
        <v>-33.257899554992946</v>
      </c>
    </row>
    <row r="111" spans="1:4" x14ac:dyDescent="0.25">
      <c r="A111" s="62">
        <v>46104</v>
      </c>
      <c r="B111" s="60">
        <v>26.851652997034094</v>
      </c>
      <c r="C111" s="61">
        <v>51429</v>
      </c>
      <c r="D111" s="60">
        <v>-34.295603173430912</v>
      </c>
    </row>
    <row r="112" spans="1:4" x14ac:dyDescent="0.25">
      <c r="A112" s="62">
        <v>46101</v>
      </c>
      <c r="B112" s="60">
        <v>29.825715582837447</v>
      </c>
      <c r="C112" s="61">
        <v>40276</v>
      </c>
      <c r="D112" s="60">
        <v>-32.438677267672901</v>
      </c>
    </row>
    <row r="113" spans="1:4" x14ac:dyDescent="0.25">
      <c r="A113" s="62">
        <v>46100</v>
      </c>
      <c r="B113" s="60">
        <v>29.205892667331813</v>
      </c>
      <c r="C113" s="61">
        <v>21686</v>
      </c>
      <c r="D113" s="60">
        <v>-32.095702105351599</v>
      </c>
    </row>
    <row r="114" spans="1:4" x14ac:dyDescent="0.25">
      <c r="A114" s="62">
        <v>46099</v>
      </c>
      <c r="B114" s="60">
        <v>30.962057594597752</v>
      </c>
      <c r="C114" s="61">
        <v>63671</v>
      </c>
      <c r="D114" s="60">
        <v>-30.752270390166654</v>
      </c>
    </row>
    <row r="115" spans="1:4" x14ac:dyDescent="0.25">
      <c r="A115" s="62">
        <v>46098</v>
      </c>
      <c r="B115" s="60">
        <v>31.174102276218104</v>
      </c>
      <c r="C115" s="61">
        <v>30230</v>
      </c>
      <c r="D115" s="60">
        <v>-30.604910232275799</v>
      </c>
    </row>
    <row r="116" spans="1:4" x14ac:dyDescent="0.25">
      <c r="A116" s="62">
        <v>46097</v>
      </c>
      <c r="B116" s="60">
        <v>31.772177019249852</v>
      </c>
      <c r="C116" s="61">
        <v>11286</v>
      </c>
      <c r="D116" s="60">
        <v>-30.7030690658754</v>
      </c>
    </row>
    <row r="117" spans="1:4" x14ac:dyDescent="0.25">
      <c r="A117" s="62">
        <v>46094</v>
      </c>
      <c r="B117" s="60">
        <v>30.711953611148115</v>
      </c>
      <c r="C117" s="61">
        <v>59304</v>
      </c>
      <c r="D117" s="60">
        <v>-31.393250990169157</v>
      </c>
    </row>
    <row r="118" spans="1:4" x14ac:dyDescent="0.25">
      <c r="A118" s="62">
        <v>46093</v>
      </c>
      <c r="B118" s="60">
        <v>32.647540961323593</v>
      </c>
      <c r="C118" s="61">
        <v>13336</v>
      </c>
      <c r="D118" s="60">
        <v>-30.752026232271671</v>
      </c>
    </row>
    <row r="119" spans="1:4" x14ac:dyDescent="0.25">
      <c r="A119" s="62">
        <v>46092</v>
      </c>
      <c r="B119" s="60">
        <v>34.115542603310615</v>
      </c>
      <c r="C119" s="61">
        <v>59076</v>
      </c>
      <c r="D119" s="60">
        <v>-30.220205909029765</v>
      </c>
    </row>
    <row r="120" spans="1:4" x14ac:dyDescent="0.25">
      <c r="A120" s="62">
        <v>46091</v>
      </c>
      <c r="B120" s="60">
        <v>35.01265471785824</v>
      </c>
      <c r="C120" s="61">
        <v>28620</v>
      </c>
      <c r="D120" s="60">
        <v>-29.898157916543703</v>
      </c>
    </row>
    <row r="121" spans="1:4" x14ac:dyDescent="0.25">
      <c r="A121" s="62">
        <v>46090</v>
      </c>
      <c r="B121" s="60">
        <v>34.425454061063448</v>
      </c>
      <c r="C121" s="61">
        <v>45373</v>
      </c>
      <c r="D121" s="60">
        <v>-30.697246875603383</v>
      </c>
    </row>
    <row r="122" spans="1:4" x14ac:dyDescent="0.25">
      <c r="A122" s="62">
        <v>46087</v>
      </c>
      <c r="B122" s="60">
        <v>36.187056031447874</v>
      </c>
      <c r="C122" s="61">
        <v>23304</v>
      </c>
      <c r="D122" s="60">
        <v>-29.745246934806346</v>
      </c>
    </row>
    <row r="123" spans="1:4" x14ac:dyDescent="0.25">
      <c r="A123" s="62">
        <v>46086</v>
      </c>
      <c r="B123" s="60">
        <v>36.056566996604573</v>
      </c>
      <c r="C123" s="61">
        <v>18834</v>
      </c>
      <c r="D123" s="60">
        <v>-30.331372969059736</v>
      </c>
    </row>
    <row r="124" spans="1:4" x14ac:dyDescent="0.25">
      <c r="A124" s="62">
        <v>46085</v>
      </c>
      <c r="B124" s="60">
        <v>35.338877304966466</v>
      </c>
      <c r="C124" s="61">
        <v>19243</v>
      </c>
      <c r="D124" s="60">
        <v>-30.518761534370434</v>
      </c>
    </row>
    <row r="125" spans="1:4" x14ac:dyDescent="0.25">
      <c r="A125" s="62">
        <v>46084</v>
      </c>
      <c r="B125" s="63" t="s">
        <v>108</v>
      </c>
      <c r="C125" s="63" t="s">
        <v>108</v>
      </c>
      <c r="D125" s="60">
        <v>-29.095539392095365</v>
      </c>
    </row>
    <row r="126" spans="1:4" x14ac:dyDescent="0.25">
      <c r="A126" s="62">
        <v>46083</v>
      </c>
      <c r="B126" s="60">
        <v>39.090437056711075</v>
      </c>
      <c r="C126" s="61">
        <v>19743</v>
      </c>
      <c r="D126" s="60">
        <v>-28.641632301093402</v>
      </c>
    </row>
    <row r="127" spans="1:4" x14ac:dyDescent="0.25">
      <c r="A127" s="62">
        <v>46080</v>
      </c>
      <c r="B127" s="60">
        <v>40.433386706973288</v>
      </c>
      <c r="C127" s="61">
        <v>31489</v>
      </c>
      <c r="D127" s="60">
        <v>-27.098461726815835</v>
      </c>
    </row>
    <row r="128" spans="1:4" x14ac:dyDescent="0.25">
      <c r="A128" s="62">
        <v>46079</v>
      </c>
      <c r="B128" s="60">
        <v>43.331330689118026</v>
      </c>
      <c r="C128" s="61">
        <v>12568</v>
      </c>
      <c r="D128" s="60">
        <v>-26.550728278525145</v>
      </c>
    </row>
    <row r="129" spans="1:4" x14ac:dyDescent="0.25">
      <c r="A129" s="62">
        <v>46078</v>
      </c>
      <c r="B129" s="60">
        <v>43.820664569780362</v>
      </c>
      <c r="C129" s="61">
        <v>37117</v>
      </c>
      <c r="D129" s="60">
        <v>-26.153390288683084</v>
      </c>
    </row>
    <row r="130" spans="1:4" x14ac:dyDescent="0.25">
      <c r="A130" s="62">
        <v>46077</v>
      </c>
      <c r="B130" s="60">
        <v>43.554249456975334</v>
      </c>
      <c r="C130" s="61">
        <v>31829</v>
      </c>
      <c r="D130" s="60">
        <v>-26.325887524256466</v>
      </c>
    </row>
    <row r="131" spans="1:4" x14ac:dyDescent="0.25">
      <c r="A131" s="62">
        <v>46076</v>
      </c>
      <c r="B131" s="60">
        <v>43.048604446957576</v>
      </c>
      <c r="C131" s="61">
        <v>31340</v>
      </c>
      <c r="D131" s="60">
        <v>-26.05760287422337</v>
      </c>
    </row>
    <row r="132" spans="1:4" x14ac:dyDescent="0.25">
      <c r="A132" s="62">
        <v>46073</v>
      </c>
      <c r="B132" s="60">
        <v>40.63455730235669</v>
      </c>
      <c r="C132" s="61">
        <v>30804</v>
      </c>
      <c r="D132" s="60">
        <v>-26.660798765049886</v>
      </c>
    </row>
    <row r="133" spans="1:4" x14ac:dyDescent="0.25">
      <c r="A133" s="62">
        <v>46072</v>
      </c>
      <c r="B133" s="60">
        <v>39.025192539289442</v>
      </c>
      <c r="C133" s="61">
        <v>9749</v>
      </c>
      <c r="D133" s="60">
        <v>-26.216231411220356</v>
      </c>
    </row>
    <row r="134" spans="1:4" x14ac:dyDescent="0.25">
      <c r="A134" s="62">
        <v>46071</v>
      </c>
      <c r="B134" s="60">
        <v>41.401180382061014</v>
      </c>
      <c r="C134" s="61">
        <v>37155</v>
      </c>
      <c r="D134" s="60">
        <v>-25.89431510207676</v>
      </c>
    </row>
    <row r="135" spans="1:4" x14ac:dyDescent="0.25">
      <c r="A135" s="62">
        <v>46070</v>
      </c>
      <c r="B135" s="60">
        <v>39.813563791467658</v>
      </c>
      <c r="C135" s="61">
        <v>14651</v>
      </c>
      <c r="D135" s="60">
        <v>-26.233217465248693</v>
      </c>
    </row>
    <row r="136" spans="1:4" x14ac:dyDescent="0.25">
      <c r="A136" s="62">
        <v>46069</v>
      </c>
      <c r="B136" s="60">
        <v>40.248527240945293</v>
      </c>
      <c r="C136" s="61">
        <v>5210</v>
      </c>
      <c r="D136" s="60">
        <v>-26.404885093674135</v>
      </c>
    </row>
    <row r="137" spans="1:4" x14ac:dyDescent="0.25">
      <c r="A137" s="62">
        <v>46066</v>
      </c>
      <c r="B137" s="60">
        <v>39.46559303188554</v>
      </c>
      <c r="C137" s="61">
        <v>6327</v>
      </c>
      <c r="D137" s="60">
        <v>-26.61580769224674</v>
      </c>
    </row>
    <row r="138" spans="1:4" x14ac:dyDescent="0.25">
      <c r="A138" s="62">
        <v>46065</v>
      </c>
      <c r="B138" s="60">
        <v>41.917699478315704</v>
      </c>
      <c r="C138" s="61">
        <v>14909</v>
      </c>
      <c r="D138" s="60">
        <v>-25.982408751345222</v>
      </c>
    </row>
    <row r="139" spans="1:4" x14ac:dyDescent="0.25">
      <c r="A139" s="62">
        <v>46064</v>
      </c>
      <c r="B139" s="60">
        <v>41.912262435197242</v>
      </c>
      <c r="C139" s="61">
        <v>10017</v>
      </c>
      <c r="D139" s="60">
        <v>-25.52921567784896</v>
      </c>
    </row>
    <row r="140" spans="1:4" x14ac:dyDescent="0.25">
      <c r="A140" s="62">
        <v>46063</v>
      </c>
      <c r="B140" s="60">
        <v>42.254796151660891</v>
      </c>
      <c r="C140" s="61">
        <v>10880</v>
      </c>
      <c r="D140" s="60">
        <v>-25.727628592643601</v>
      </c>
    </row>
    <row r="141" spans="1:4" x14ac:dyDescent="0.25">
      <c r="A141" s="62">
        <v>46062</v>
      </c>
      <c r="B141" s="60">
        <v>40.852039027095508</v>
      </c>
      <c r="C141" s="61">
        <v>9099</v>
      </c>
      <c r="D141" s="60">
        <v>-25.698961282684031</v>
      </c>
    </row>
    <row r="142" spans="1:4" x14ac:dyDescent="0.25">
      <c r="A142" s="62">
        <v>46059</v>
      </c>
      <c r="B142" s="60">
        <v>41.618662106799832</v>
      </c>
      <c r="C142" s="61">
        <v>7214</v>
      </c>
      <c r="D142" s="60">
        <v>-26.401475178547322</v>
      </c>
    </row>
    <row r="143" spans="1:4" x14ac:dyDescent="0.25">
      <c r="A143" s="62">
        <v>46058</v>
      </c>
      <c r="B143" s="60">
        <v>41.738277055406201</v>
      </c>
      <c r="C143" s="61">
        <v>15125</v>
      </c>
      <c r="D143" s="60">
        <v>-26.368528825419489</v>
      </c>
    </row>
    <row r="144" spans="1:4" x14ac:dyDescent="0.25">
      <c r="A144" s="62">
        <v>46057</v>
      </c>
      <c r="B144" s="60">
        <v>41.591476891207478</v>
      </c>
      <c r="C144" s="61">
        <v>35479</v>
      </c>
      <c r="D144" s="60">
        <v>-26.827259574034372</v>
      </c>
    </row>
    <row r="145" spans="1:4" x14ac:dyDescent="0.25">
      <c r="A145" s="62">
        <v>46056</v>
      </c>
      <c r="B145" s="60">
        <v>42.358099970911837</v>
      </c>
      <c r="C145" s="61">
        <v>34600</v>
      </c>
      <c r="D145" s="60">
        <v>-27.208368486504874</v>
      </c>
    </row>
    <row r="146" spans="1:4" x14ac:dyDescent="0.25">
      <c r="A146" s="62">
        <v>46055</v>
      </c>
      <c r="B146" s="60">
        <v>42.18955163423923</v>
      </c>
      <c r="C146" s="61">
        <v>34384</v>
      </c>
      <c r="D146" s="60">
        <v>-28.211656993773317</v>
      </c>
    </row>
    <row r="147" spans="1:4" x14ac:dyDescent="0.25">
      <c r="A147" s="62">
        <v>46054</v>
      </c>
      <c r="B147" s="60">
        <v>38.818584900787549</v>
      </c>
      <c r="C147" s="61">
        <v>77477</v>
      </c>
      <c r="D147" s="63" t="s">
        <v>108</v>
      </c>
    </row>
    <row r="148" spans="1:4" x14ac:dyDescent="0.25">
      <c r="A148" s="62">
        <v>46052</v>
      </c>
      <c r="B148" s="60">
        <v>44.783021201749648</v>
      </c>
      <c r="C148" s="61">
        <v>255385</v>
      </c>
      <c r="D148" s="60">
        <v>-27.960189420212636</v>
      </c>
    </row>
    <row r="149" spans="1:4" x14ac:dyDescent="0.25">
      <c r="A149" s="62">
        <v>46051</v>
      </c>
      <c r="B149" s="60">
        <v>40.031045516206476</v>
      </c>
      <c r="C149" s="61">
        <v>29563</v>
      </c>
      <c r="D149" s="60">
        <v>-27.580300886081616</v>
      </c>
    </row>
    <row r="150" spans="1:4" x14ac:dyDescent="0.25">
      <c r="A150" s="62">
        <v>46050</v>
      </c>
      <c r="B150" s="60">
        <v>40.56931278493505</v>
      </c>
      <c r="C150" s="61">
        <v>26303</v>
      </c>
      <c r="D150" s="60">
        <v>-28.025725431693875</v>
      </c>
    </row>
    <row r="151" spans="1:4" x14ac:dyDescent="0.25">
      <c r="A151" s="62">
        <v>46049</v>
      </c>
      <c r="B151" s="60">
        <v>41.749151141643132</v>
      </c>
      <c r="C151" s="61">
        <v>20288</v>
      </c>
      <c r="D151" s="60">
        <v>-27.944282556408808</v>
      </c>
    </row>
    <row r="152" spans="1:4" x14ac:dyDescent="0.25">
      <c r="A152" s="62">
        <v>46048</v>
      </c>
      <c r="B152" s="63" t="s">
        <v>108</v>
      </c>
      <c r="C152" s="63" t="s">
        <v>108</v>
      </c>
      <c r="D152" s="60">
        <v>-27.85030608536108</v>
      </c>
    </row>
    <row r="153" spans="1:4" x14ac:dyDescent="0.25">
      <c r="A153" s="62">
        <v>46045</v>
      </c>
      <c r="B153" s="60">
        <v>40.63455730235669</v>
      </c>
      <c r="C153" s="61">
        <v>7611</v>
      </c>
      <c r="D153" s="60">
        <v>-27.922063061007567</v>
      </c>
    </row>
    <row r="154" spans="1:4" x14ac:dyDescent="0.25">
      <c r="A154" s="62">
        <v>46044</v>
      </c>
      <c r="B154" s="60">
        <v>42.004692168211257</v>
      </c>
      <c r="C154" s="61">
        <v>24221</v>
      </c>
      <c r="D154" s="60">
        <v>-27.627408687718049</v>
      </c>
    </row>
    <row r="155" spans="1:4" x14ac:dyDescent="0.25">
      <c r="A155" s="62">
        <v>46043</v>
      </c>
      <c r="B155" s="60">
        <v>39.460155988767077</v>
      </c>
      <c r="C155" s="61">
        <v>30790</v>
      </c>
      <c r="D155" s="60">
        <v>-27.92153670357596</v>
      </c>
    </row>
    <row r="156" spans="1:4" x14ac:dyDescent="0.25">
      <c r="A156" s="62">
        <v>46042</v>
      </c>
      <c r="B156" s="60">
        <v>40.803105639029262</v>
      </c>
      <c r="C156" s="61">
        <v>43136</v>
      </c>
      <c r="D156" s="60">
        <v>-27.481388416373548</v>
      </c>
    </row>
    <row r="157" spans="1:4" x14ac:dyDescent="0.25">
      <c r="A157" s="62">
        <v>46041</v>
      </c>
      <c r="B157" s="60">
        <v>43.081226705668392</v>
      </c>
      <c r="C157" s="61">
        <v>11223</v>
      </c>
      <c r="D157" s="60">
        <v>-27.232941832937165</v>
      </c>
    </row>
    <row r="158" spans="1:4" x14ac:dyDescent="0.25">
      <c r="A158" s="62">
        <v>46038</v>
      </c>
      <c r="B158" s="60">
        <v>43.021419231365222</v>
      </c>
      <c r="C158" s="61">
        <v>43359</v>
      </c>
      <c r="D158" s="60">
        <v>-27.110559377459573</v>
      </c>
    </row>
    <row r="159" spans="1:4" x14ac:dyDescent="0.25">
      <c r="A159" s="62">
        <v>46037</v>
      </c>
      <c r="B159" s="63" t="s">
        <v>108</v>
      </c>
      <c r="C159" s="63" t="s">
        <v>108</v>
      </c>
      <c r="D159" s="60">
        <v>-26.623252295221157</v>
      </c>
    </row>
    <row r="160" spans="1:4" x14ac:dyDescent="0.25">
      <c r="A160" s="62">
        <v>46036</v>
      </c>
      <c r="B160" s="60">
        <v>42.178677548002305</v>
      </c>
      <c r="C160" s="61">
        <v>11323</v>
      </c>
      <c r="D160" s="60">
        <v>-26.487478967392317</v>
      </c>
    </row>
    <row r="161" spans="1:4" x14ac:dyDescent="0.25">
      <c r="A161" s="62">
        <v>46035</v>
      </c>
      <c r="B161" s="60">
        <v>43.391138163421225</v>
      </c>
      <c r="C161" s="61">
        <v>13687</v>
      </c>
      <c r="D161" s="60">
        <v>-26.670394927909353</v>
      </c>
    </row>
    <row r="162" spans="1:4" x14ac:dyDescent="0.25">
      <c r="A162" s="62">
        <v>46034</v>
      </c>
      <c r="B162" s="60">
        <v>42.504900135110532</v>
      </c>
      <c r="C162" s="61">
        <v>129526</v>
      </c>
      <c r="D162" s="60">
        <v>-26.390202679479</v>
      </c>
    </row>
    <row r="163" spans="1:4" x14ac:dyDescent="0.25">
      <c r="A163" s="62">
        <v>46031</v>
      </c>
      <c r="B163" s="60">
        <v>41.248943174743857</v>
      </c>
      <c r="C163" s="61">
        <v>99703</v>
      </c>
      <c r="D163" s="60">
        <v>-27.085067904198219</v>
      </c>
    </row>
    <row r="164" spans="1:4" x14ac:dyDescent="0.25">
      <c r="A164" s="62">
        <v>46030</v>
      </c>
      <c r="B164" s="60">
        <v>42.091684858106774</v>
      </c>
      <c r="C164" s="61">
        <v>16737</v>
      </c>
      <c r="D164" s="60">
        <v>-26.90524798927191</v>
      </c>
    </row>
    <row r="165" spans="1:4" x14ac:dyDescent="0.25">
      <c r="A165" s="62">
        <v>46029</v>
      </c>
      <c r="B165" s="60">
        <v>42.918115412114275</v>
      </c>
      <c r="C165" s="61">
        <v>20403</v>
      </c>
      <c r="D165" s="60">
        <v>-26.361983719952136</v>
      </c>
    </row>
    <row r="166" spans="1:4" x14ac:dyDescent="0.25">
      <c r="A166" s="62">
        <v>46028</v>
      </c>
      <c r="B166" s="60">
        <v>43.489004939553674</v>
      </c>
      <c r="C166" s="61">
        <v>43755</v>
      </c>
      <c r="D166" s="60">
        <v>-26.434922312730301</v>
      </c>
    </row>
    <row r="167" spans="1:4" x14ac:dyDescent="0.25">
      <c r="A167" s="62">
        <v>46027</v>
      </c>
      <c r="B167" s="60">
        <v>42.907241325877344</v>
      </c>
      <c r="C167" s="61">
        <v>101941</v>
      </c>
      <c r="D167" s="60">
        <v>-27.008382823039629</v>
      </c>
    </row>
    <row r="168" spans="1:4" x14ac:dyDescent="0.25">
      <c r="A168" s="62">
        <v>46024</v>
      </c>
      <c r="B168" s="60">
        <v>39.144807487895775</v>
      </c>
      <c r="C168" s="61">
        <v>44091</v>
      </c>
      <c r="D168" s="60">
        <v>-27.416294117190823</v>
      </c>
    </row>
    <row r="169" spans="1:4" x14ac:dyDescent="0.25">
      <c r="A169" s="62">
        <v>46023</v>
      </c>
      <c r="B169" s="60">
        <v>40.792231552792337</v>
      </c>
      <c r="C169" s="61">
        <v>16922</v>
      </c>
      <c r="D169" s="60">
        <v>-27.409578577474711</v>
      </c>
    </row>
    <row r="170" spans="1:4" x14ac:dyDescent="0.25">
      <c r="A170" s="62">
        <v>46022</v>
      </c>
      <c r="B170" s="60">
        <v>40.05279368868036</v>
      </c>
      <c r="C170" s="61">
        <v>63003</v>
      </c>
      <c r="D170" s="60">
        <v>-27.080494430012184</v>
      </c>
    </row>
    <row r="171" spans="1:4" x14ac:dyDescent="0.25">
      <c r="A171" s="62">
        <v>46021</v>
      </c>
      <c r="B171" s="60">
        <v>38.524984572390167</v>
      </c>
      <c r="C171" s="61">
        <v>40884</v>
      </c>
      <c r="D171" s="60">
        <v>-27.033687729492325</v>
      </c>
    </row>
    <row r="172" spans="1:4" x14ac:dyDescent="0.25">
      <c r="A172" s="62">
        <v>46020</v>
      </c>
      <c r="B172" s="60">
        <v>39.188303832843559</v>
      </c>
      <c r="C172" s="61">
        <v>58833</v>
      </c>
      <c r="D172" s="60">
        <v>-26.865955630212753</v>
      </c>
    </row>
    <row r="173" spans="1:4" x14ac:dyDescent="0.25">
      <c r="A173" s="62">
        <v>46017</v>
      </c>
      <c r="B173" s="60">
        <v>38.269443545822043</v>
      </c>
      <c r="C173" s="61">
        <v>188047</v>
      </c>
      <c r="D173" s="60">
        <v>-26.367032781849829</v>
      </c>
    </row>
    <row r="174" spans="1:4" x14ac:dyDescent="0.25">
      <c r="A174" s="62">
        <v>46016</v>
      </c>
      <c r="B174" s="63" t="s">
        <v>108</v>
      </c>
      <c r="C174" s="63" t="s">
        <v>108</v>
      </c>
      <c r="D174" s="60">
        <v>-26.471411163295663</v>
      </c>
    </row>
    <row r="175" spans="1:4" x14ac:dyDescent="0.25">
      <c r="A175" s="62">
        <v>46015</v>
      </c>
      <c r="B175" s="60">
        <v>36.888434593730537</v>
      </c>
      <c r="C175" s="61">
        <v>13396</v>
      </c>
      <c r="D175" s="60">
        <v>-26.457055937379931</v>
      </c>
    </row>
    <row r="176" spans="1:4" x14ac:dyDescent="0.25">
      <c r="A176" s="62">
        <v>46014</v>
      </c>
      <c r="B176" s="60">
        <v>36.464345230489862</v>
      </c>
      <c r="C176" s="61">
        <v>8580</v>
      </c>
      <c r="D176" s="60">
        <v>-26.404206321807557</v>
      </c>
    </row>
    <row r="177" spans="1:4" x14ac:dyDescent="0.25">
      <c r="A177" s="62">
        <v>46013</v>
      </c>
      <c r="B177" s="60">
        <v>36.698138084584073</v>
      </c>
      <c r="C177" s="61">
        <v>10548</v>
      </c>
      <c r="D177" s="60">
        <v>-26.4058716381716</v>
      </c>
    </row>
    <row r="178" spans="1:4" x14ac:dyDescent="0.25">
      <c r="A178" s="62">
        <v>46010</v>
      </c>
      <c r="B178" s="60">
        <v>35.213825313241664</v>
      </c>
      <c r="C178" s="61">
        <v>24302</v>
      </c>
      <c r="D178" s="60">
        <v>-26.559229916070702</v>
      </c>
    </row>
    <row r="179" spans="1:4" x14ac:dyDescent="0.25">
      <c r="A179" s="62">
        <v>46009</v>
      </c>
      <c r="B179" s="60">
        <v>34.159038948258384</v>
      </c>
      <c r="C179" s="61">
        <v>31855</v>
      </c>
      <c r="D179" s="60">
        <v>-27.391468577182987</v>
      </c>
    </row>
    <row r="180" spans="1:4" x14ac:dyDescent="0.25">
      <c r="A180" s="62">
        <v>46008</v>
      </c>
      <c r="B180" s="60">
        <v>34.294965026220147</v>
      </c>
      <c r="C180" s="61">
        <v>12139</v>
      </c>
      <c r="D180" s="60">
        <v>-27.376913276446469</v>
      </c>
    </row>
    <row r="181" spans="1:4" x14ac:dyDescent="0.25">
      <c r="A181" s="62">
        <v>46007</v>
      </c>
      <c r="B181" s="60">
        <v>34.833232294948729</v>
      </c>
      <c r="C181" s="61">
        <v>36958</v>
      </c>
      <c r="D181" s="60">
        <v>-27.694306912052966</v>
      </c>
    </row>
    <row r="182" spans="1:4" x14ac:dyDescent="0.25">
      <c r="A182" s="62">
        <v>46006</v>
      </c>
      <c r="B182" s="60">
        <v>35.072462192161431</v>
      </c>
      <c r="C182" s="61">
        <v>15046</v>
      </c>
      <c r="D182" s="60">
        <v>-27.436400089163818</v>
      </c>
    </row>
    <row r="183" spans="1:4" x14ac:dyDescent="0.25">
      <c r="A183" s="62">
        <v>46003</v>
      </c>
      <c r="B183" s="60">
        <v>34.637498742683796</v>
      </c>
      <c r="C183" s="61">
        <v>15122</v>
      </c>
      <c r="D183" s="60">
        <v>-27.582968771665467</v>
      </c>
    </row>
    <row r="184" spans="1:4" x14ac:dyDescent="0.25">
      <c r="A184" s="62">
        <v>46002</v>
      </c>
      <c r="B184" s="60">
        <v>32.098399606358079</v>
      </c>
      <c r="C184" s="61">
        <v>75872</v>
      </c>
      <c r="D184" s="60">
        <v>-27.994742459371626</v>
      </c>
    </row>
    <row r="185" spans="1:4" x14ac:dyDescent="0.25">
      <c r="A185" s="62">
        <v>46001</v>
      </c>
      <c r="B185" s="60">
        <v>31.429643302786229</v>
      </c>
      <c r="C185" s="61">
        <v>11686</v>
      </c>
      <c r="D185" s="60">
        <v>-27.792572746824458</v>
      </c>
    </row>
    <row r="186" spans="1:4" x14ac:dyDescent="0.25">
      <c r="A186" s="62">
        <v>46000</v>
      </c>
      <c r="B186" s="60">
        <v>32.158207080661249</v>
      </c>
      <c r="C186" s="61">
        <v>41306</v>
      </c>
      <c r="D186" s="60">
        <v>-27.724718260904513</v>
      </c>
    </row>
    <row r="187" spans="1:4" x14ac:dyDescent="0.25">
      <c r="A187" s="62">
        <v>45999</v>
      </c>
      <c r="B187" s="60">
        <v>32.141895951305855</v>
      </c>
      <c r="C187" s="61">
        <v>48688</v>
      </c>
      <c r="D187" s="60">
        <v>-27.549194642108187</v>
      </c>
    </row>
    <row r="188" spans="1:4" x14ac:dyDescent="0.25">
      <c r="A188" s="62">
        <v>45996</v>
      </c>
      <c r="B188" s="60">
        <v>35.561796072823775</v>
      </c>
      <c r="C188" s="61">
        <v>19078</v>
      </c>
      <c r="D188" s="60">
        <v>-26.738994546222671</v>
      </c>
    </row>
    <row r="189" spans="1:4" x14ac:dyDescent="0.25">
      <c r="A189" s="62">
        <v>45995</v>
      </c>
      <c r="B189" s="60">
        <v>35.072462192161431</v>
      </c>
      <c r="C189" s="61">
        <v>13339</v>
      </c>
      <c r="D189" s="60">
        <v>-26.731252540021547</v>
      </c>
    </row>
    <row r="190" spans="1:4" x14ac:dyDescent="0.25">
      <c r="A190" s="62">
        <v>45994</v>
      </c>
      <c r="B190" s="60">
        <v>34.990906545384377</v>
      </c>
      <c r="C190" s="61">
        <v>13381</v>
      </c>
      <c r="D190" s="60">
        <v>-26.714224021459291</v>
      </c>
    </row>
    <row r="191" spans="1:4" x14ac:dyDescent="0.25">
      <c r="A191" s="62">
        <v>45993</v>
      </c>
      <c r="B191" s="60">
        <v>36.866686421256681</v>
      </c>
      <c r="C191" s="61">
        <v>26726</v>
      </c>
      <c r="D191" s="60">
        <v>-26.073324742103747</v>
      </c>
    </row>
    <row r="192" spans="1:4" x14ac:dyDescent="0.25">
      <c r="A192" s="62">
        <v>45992</v>
      </c>
      <c r="B192" s="60">
        <v>36.997175456099946</v>
      </c>
      <c r="C192" s="61">
        <v>12186</v>
      </c>
      <c r="D192" s="60">
        <v>-25.869717337658575</v>
      </c>
    </row>
    <row r="193" spans="1:4" x14ac:dyDescent="0.25">
      <c r="A193" s="62">
        <v>45989</v>
      </c>
      <c r="B193" s="60">
        <v>37.046108844166191</v>
      </c>
      <c r="C193" s="61">
        <v>27753</v>
      </c>
      <c r="D193" s="60">
        <v>-26.002053936509142</v>
      </c>
    </row>
    <row r="194" spans="1:4" x14ac:dyDescent="0.25">
      <c r="A194" s="62">
        <v>45988</v>
      </c>
      <c r="B194" s="60">
        <v>37.61699837160559</v>
      </c>
      <c r="C194" s="61">
        <v>25471</v>
      </c>
      <c r="D194" s="60">
        <v>-25.887552305567461</v>
      </c>
    </row>
    <row r="195" spans="1:4" x14ac:dyDescent="0.25">
      <c r="A195" s="62">
        <v>45987</v>
      </c>
      <c r="B195" s="60">
        <v>38.688095865944284</v>
      </c>
      <c r="C195" s="61">
        <v>21496</v>
      </c>
      <c r="D195" s="60">
        <v>-25.871216432178624</v>
      </c>
    </row>
    <row r="196" spans="1:4" x14ac:dyDescent="0.25">
      <c r="A196" s="62">
        <v>45986</v>
      </c>
      <c r="B196" s="60">
        <v>37.350583258800526</v>
      </c>
      <c r="C196" s="61">
        <v>64449</v>
      </c>
      <c r="D196" s="60">
        <v>-26.122828618428343</v>
      </c>
    </row>
    <row r="197" spans="1:4" x14ac:dyDescent="0.25">
      <c r="A197" s="62">
        <v>45985</v>
      </c>
      <c r="B197" s="60">
        <v>38.046524777964763</v>
      </c>
      <c r="C197" s="61">
        <v>112851</v>
      </c>
      <c r="D197" s="60">
        <v>-26.19119458026368</v>
      </c>
    </row>
    <row r="198" spans="1:4" x14ac:dyDescent="0.25">
      <c r="A198" s="62">
        <v>45982</v>
      </c>
      <c r="B198" s="60">
        <v>39.280733565857538</v>
      </c>
      <c r="C198" s="61">
        <v>83167</v>
      </c>
      <c r="D198" s="60">
        <v>-26.248752040959786</v>
      </c>
    </row>
    <row r="199" spans="1:4" x14ac:dyDescent="0.25">
      <c r="A199" s="62">
        <v>45981</v>
      </c>
      <c r="B199" s="60">
        <v>39.248111307146722</v>
      </c>
      <c r="C199" s="61">
        <v>212746</v>
      </c>
      <c r="D199" s="60">
        <v>-25.354620951154857</v>
      </c>
    </row>
    <row r="200" spans="1:4" x14ac:dyDescent="0.25">
      <c r="A200" s="62">
        <v>45980</v>
      </c>
      <c r="B200" s="60">
        <v>38.992570280578619</v>
      </c>
      <c r="C200" s="61">
        <v>36481</v>
      </c>
      <c r="D200" s="60">
        <v>-25.200395523365788</v>
      </c>
    </row>
    <row r="201" spans="1:4" x14ac:dyDescent="0.25">
      <c r="A201" s="62">
        <v>45979</v>
      </c>
      <c r="B201" s="60">
        <v>37.562627940420882</v>
      </c>
      <c r="C201" s="61">
        <v>21579</v>
      </c>
      <c r="D201" s="60">
        <v>-25.262482852767349</v>
      </c>
    </row>
    <row r="202" spans="1:4" x14ac:dyDescent="0.25">
      <c r="A202" s="62">
        <v>45978</v>
      </c>
      <c r="B202" s="60">
        <v>38.073709993557117</v>
      </c>
      <c r="C202" s="61">
        <v>20540</v>
      </c>
      <c r="D202" s="60">
        <v>-24.572700724226337</v>
      </c>
    </row>
    <row r="203" spans="1:4" x14ac:dyDescent="0.25">
      <c r="A203" s="62">
        <v>45975</v>
      </c>
      <c r="B203" s="60">
        <v>38.030213648609333</v>
      </c>
      <c r="C203" s="61">
        <v>8869</v>
      </c>
      <c r="D203" s="60">
        <v>-24.570534971093522</v>
      </c>
    </row>
    <row r="204" spans="1:4" x14ac:dyDescent="0.25">
      <c r="A204" s="62">
        <v>45974</v>
      </c>
      <c r="B204" s="60">
        <v>38.622851348522623</v>
      </c>
      <c r="C204" s="61">
        <v>18553</v>
      </c>
      <c r="D204" s="60">
        <v>-24.508195331747171</v>
      </c>
    </row>
    <row r="205" spans="1:4" x14ac:dyDescent="0.25">
      <c r="A205" s="62">
        <v>45973</v>
      </c>
      <c r="B205" s="60">
        <v>38.802273771432155</v>
      </c>
      <c r="C205" s="61">
        <v>35089</v>
      </c>
      <c r="D205" s="60">
        <v>-24.447452852981989</v>
      </c>
    </row>
    <row r="206" spans="1:4" x14ac:dyDescent="0.25">
      <c r="A206" s="62">
        <v>45972</v>
      </c>
      <c r="B206" s="60">
        <v>37.899724613766068</v>
      </c>
      <c r="C206" s="61">
        <v>13146</v>
      </c>
      <c r="D206" s="60">
        <v>-24.889946573303718</v>
      </c>
    </row>
    <row r="207" spans="1:4" x14ac:dyDescent="0.25">
      <c r="A207" s="62">
        <v>45971</v>
      </c>
      <c r="B207" s="60">
        <v>37.31796100008971</v>
      </c>
      <c r="C207" s="61">
        <v>14916</v>
      </c>
      <c r="D207" s="60">
        <v>-25.062725880649356</v>
      </c>
    </row>
    <row r="208" spans="1:4" x14ac:dyDescent="0.25">
      <c r="A208" s="62">
        <v>45968</v>
      </c>
      <c r="B208" s="60">
        <v>37.111353361587852</v>
      </c>
      <c r="C208" s="61">
        <v>54899</v>
      </c>
      <c r="D208" s="60">
        <v>-25.888784756398842</v>
      </c>
    </row>
    <row r="209" spans="1:4" x14ac:dyDescent="0.25">
      <c r="A209" s="62">
        <v>45967</v>
      </c>
      <c r="B209" s="60">
        <v>37.975843217424632</v>
      </c>
      <c r="C209" s="61">
        <v>61021</v>
      </c>
      <c r="D209" s="60">
        <v>-25.62461605957866</v>
      </c>
    </row>
    <row r="210" spans="1:4" x14ac:dyDescent="0.25">
      <c r="A210" s="62">
        <v>45966</v>
      </c>
      <c r="B210" s="63" t="s">
        <v>108</v>
      </c>
      <c r="C210" s="63" t="s">
        <v>108</v>
      </c>
      <c r="D210" s="60">
        <v>-25.803992206527639</v>
      </c>
    </row>
    <row r="211" spans="1:4" x14ac:dyDescent="0.25">
      <c r="A211" s="62">
        <v>45965</v>
      </c>
      <c r="B211" s="60">
        <v>37.530005681710065</v>
      </c>
      <c r="C211" s="61">
        <v>26376</v>
      </c>
      <c r="D211" s="60">
        <v>-25.76470163057585</v>
      </c>
    </row>
    <row r="212" spans="1:4" x14ac:dyDescent="0.25">
      <c r="A212" s="62">
        <v>45964</v>
      </c>
      <c r="B212" s="60">
        <v>37.921472786239924</v>
      </c>
      <c r="C212" s="61">
        <v>55329</v>
      </c>
      <c r="D212" s="60">
        <v>-25.220312544497624</v>
      </c>
    </row>
    <row r="213" spans="1:4" x14ac:dyDescent="0.25">
      <c r="A213" s="62">
        <v>45961</v>
      </c>
      <c r="B213" s="60">
        <v>38.269443545822043</v>
      </c>
      <c r="C213" s="61">
        <v>126170</v>
      </c>
      <c r="D213" s="60">
        <v>-25.493726192521297</v>
      </c>
    </row>
    <row r="214" spans="1:4" x14ac:dyDescent="0.25">
      <c r="A214" s="62">
        <v>45960</v>
      </c>
      <c r="B214" s="60">
        <v>39.182866789725082</v>
      </c>
      <c r="C214" s="61">
        <v>40122</v>
      </c>
      <c r="D214" s="60">
        <v>-25.371318816046248</v>
      </c>
    </row>
    <row r="215" spans="1:4" x14ac:dyDescent="0.25">
      <c r="A215" s="62">
        <v>45959</v>
      </c>
      <c r="B215" s="60">
        <v>38.432554839376152</v>
      </c>
      <c r="C215" s="61">
        <v>42551</v>
      </c>
      <c r="D215" s="60">
        <v>-24.659531309241139</v>
      </c>
    </row>
    <row r="216" spans="1:4" x14ac:dyDescent="0.25">
      <c r="A216" s="62">
        <v>45958</v>
      </c>
      <c r="B216" s="60">
        <v>38.209636071518872</v>
      </c>
      <c r="C216" s="61">
        <v>43625</v>
      </c>
      <c r="D216" s="60">
        <v>-24.890442964643356</v>
      </c>
    </row>
    <row r="217" spans="1:4" x14ac:dyDescent="0.25">
      <c r="A217" s="62">
        <v>45957</v>
      </c>
      <c r="B217" s="60">
        <v>39.481904161240962</v>
      </c>
      <c r="C217" s="61">
        <v>50762</v>
      </c>
      <c r="D217" s="60">
        <v>-24.479168357394801</v>
      </c>
    </row>
    <row r="218" spans="1:4" x14ac:dyDescent="0.25">
      <c r="A218" s="62">
        <v>45954</v>
      </c>
      <c r="B218" s="60">
        <v>39.340541040160737</v>
      </c>
      <c r="C218" s="61">
        <v>57886</v>
      </c>
      <c r="D218" s="60">
        <v>-24.460966067152253</v>
      </c>
    </row>
    <row r="219" spans="1:4" x14ac:dyDescent="0.25">
      <c r="A219" s="62">
        <v>45953</v>
      </c>
      <c r="B219" s="60">
        <v>38.481488227442398</v>
      </c>
      <c r="C219" s="61">
        <v>40092</v>
      </c>
      <c r="D219" s="60">
        <v>-24.057442800454076</v>
      </c>
    </row>
    <row r="220" spans="1:4" x14ac:dyDescent="0.25">
      <c r="A220" s="62">
        <v>45952</v>
      </c>
      <c r="B220" s="63" t="s">
        <v>108</v>
      </c>
      <c r="C220" s="63" t="s">
        <v>108</v>
      </c>
      <c r="D220" s="60">
        <v>-24.207062308386558</v>
      </c>
    </row>
    <row r="221" spans="1:4" x14ac:dyDescent="0.25">
      <c r="A221" s="62">
        <v>45951</v>
      </c>
      <c r="B221" s="60">
        <v>39.922304653837067</v>
      </c>
      <c r="C221" s="61">
        <v>17278</v>
      </c>
      <c r="D221" s="60">
        <v>-23.947041198614151</v>
      </c>
    </row>
    <row r="222" spans="1:4" x14ac:dyDescent="0.25">
      <c r="A222" s="62">
        <v>45950</v>
      </c>
      <c r="B222" s="60">
        <v>39.732008144690603</v>
      </c>
      <c r="C222" s="61">
        <v>28558</v>
      </c>
      <c r="D222" s="60">
        <v>-24.022351885259283</v>
      </c>
    </row>
    <row r="223" spans="1:4" x14ac:dyDescent="0.25">
      <c r="A223" s="62">
        <v>45947</v>
      </c>
      <c r="B223" s="60">
        <v>40.166971594168238</v>
      </c>
      <c r="C223" s="61">
        <v>152598</v>
      </c>
      <c r="D223" s="60">
        <v>-24.291513669591545</v>
      </c>
    </row>
    <row r="224" spans="1:4" x14ac:dyDescent="0.25">
      <c r="A224" s="62">
        <v>45946</v>
      </c>
      <c r="B224" s="60">
        <v>38.813147857669087</v>
      </c>
      <c r="C224" s="61">
        <v>397686</v>
      </c>
      <c r="D224" s="60">
        <v>-23.840429135964097</v>
      </c>
    </row>
    <row r="225" spans="1:4" x14ac:dyDescent="0.25">
      <c r="A225" s="62">
        <v>45945</v>
      </c>
      <c r="B225" s="60">
        <v>32.832400427351594</v>
      </c>
      <c r="C225" s="61">
        <v>77081</v>
      </c>
      <c r="D225" s="60">
        <v>-24.468110035803338</v>
      </c>
    </row>
    <row r="226" spans="1:4" x14ac:dyDescent="0.25">
      <c r="A226" s="62">
        <v>45944</v>
      </c>
      <c r="B226" s="60">
        <v>27.775950327174073</v>
      </c>
      <c r="C226" s="61">
        <v>41662</v>
      </c>
      <c r="D226" s="60">
        <v>-25.592758026540139</v>
      </c>
    </row>
    <row r="227" spans="1:4" x14ac:dyDescent="0.25">
      <c r="A227" s="62">
        <v>45943</v>
      </c>
      <c r="B227" s="60">
        <v>29.205892667331813</v>
      </c>
      <c r="C227" s="61">
        <v>147090</v>
      </c>
      <c r="D227" s="60">
        <v>-25.186149854403961</v>
      </c>
    </row>
    <row r="228" spans="1:4" x14ac:dyDescent="0.25">
      <c r="A228" s="62">
        <v>45940</v>
      </c>
      <c r="B228" s="60">
        <v>30.461849627698477</v>
      </c>
      <c r="C228" s="61">
        <v>65246</v>
      </c>
      <c r="D228" s="60">
        <v>-24.754377622144425</v>
      </c>
    </row>
    <row r="229" spans="1:4" x14ac:dyDescent="0.25">
      <c r="A229" s="62">
        <v>45939</v>
      </c>
      <c r="B229" s="60">
        <v>29.135211106791683</v>
      </c>
      <c r="C229" s="61">
        <v>156099</v>
      </c>
      <c r="D229" s="60">
        <v>-24.809694460037797</v>
      </c>
    </row>
    <row r="230" spans="1:4" x14ac:dyDescent="0.25">
      <c r="A230" s="62">
        <v>45938</v>
      </c>
      <c r="B230" s="60">
        <v>28.319654639021117</v>
      </c>
      <c r="C230" s="61">
        <v>82982</v>
      </c>
      <c r="D230" s="60">
        <v>-24.834452427864537</v>
      </c>
    </row>
    <row r="231" spans="1:4" x14ac:dyDescent="0.25">
      <c r="A231" s="62">
        <v>45937</v>
      </c>
      <c r="B231" s="60">
        <v>27.922750491372788</v>
      </c>
      <c r="C231" s="61">
        <v>37440</v>
      </c>
      <c r="D231" s="60">
        <v>-24.775570032976006</v>
      </c>
    </row>
    <row r="232" spans="1:4" x14ac:dyDescent="0.25">
      <c r="A232" s="62">
        <v>45936</v>
      </c>
      <c r="B232" s="60">
        <v>28.461017760101345</v>
      </c>
      <c r="C232" s="61">
        <v>34350</v>
      </c>
      <c r="D232" s="60">
        <v>-24.628348945906726</v>
      </c>
    </row>
    <row r="233" spans="1:4" x14ac:dyDescent="0.25">
      <c r="A233" s="62">
        <v>45933</v>
      </c>
      <c r="B233" s="60">
        <v>27.194186713497746</v>
      </c>
      <c r="C233" s="61">
        <v>61758</v>
      </c>
      <c r="D233" s="60">
        <v>-24.249980076363144</v>
      </c>
    </row>
    <row r="234" spans="1:4" x14ac:dyDescent="0.25">
      <c r="A234" s="62">
        <v>45932</v>
      </c>
      <c r="B234" s="63" t="s">
        <v>108</v>
      </c>
      <c r="C234" s="63" t="s">
        <v>108</v>
      </c>
      <c r="D234" s="60">
        <v>-24.216860509633925</v>
      </c>
    </row>
    <row r="235" spans="1:4" x14ac:dyDescent="0.25">
      <c r="A235" s="62">
        <v>45931</v>
      </c>
      <c r="B235" s="60">
        <v>26.808156652086346</v>
      </c>
      <c r="C235" s="61">
        <v>27351</v>
      </c>
      <c r="D235" s="60">
        <v>-24.263424384283333</v>
      </c>
    </row>
    <row r="236" spans="1:4" x14ac:dyDescent="0.25">
      <c r="A236" s="62">
        <v>45930</v>
      </c>
      <c r="B236" s="60">
        <v>25.367340225691677</v>
      </c>
      <c r="C236" s="61">
        <v>23382</v>
      </c>
      <c r="D236" s="60">
        <v>-24.405997746236629</v>
      </c>
    </row>
    <row r="237" spans="1:4" x14ac:dyDescent="0.25">
      <c r="A237" s="62">
        <v>45929</v>
      </c>
      <c r="B237" s="60">
        <v>25.312969794506973</v>
      </c>
      <c r="C237" s="61">
        <v>25663</v>
      </c>
      <c r="D237" s="60">
        <v>-24.271362336901991</v>
      </c>
    </row>
    <row r="238" spans="1:4" x14ac:dyDescent="0.25">
      <c r="A238" s="62">
        <v>45926</v>
      </c>
      <c r="B238" s="60">
        <v>26.411252504437993</v>
      </c>
      <c r="C238" s="61">
        <v>231946</v>
      </c>
      <c r="D238" s="60">
        <v>-24.783518518479156</v>
      </c>
    </row>
    <row r="239" spans="1:4" x14ac:dyDescent="0.25">
      <c r="A239" s="62">
        <v>45925</v>
      </c>
      <c r="B239" s="60">
        <v>27.585653818027605</v>
      </c>
      <c r="C239" s="61">
        <v>30333</v>
      </c>
      <c r="D239" s="60">
        <v>-24.45569437499676</v>
      </c>
    </row>
    <row r="240" spans="1:4" x14ac:dyDescent="0.25">
      <c r="A240" s="62">
        <v>45924</v>
      </c>
      <c r="B240" s="60">
        <v>28.265284207836412</v>
      </c>
      <c r="C240" s="61">
        <v>101755</v>
      </c>
      <c r="D240" s="60">
        <v>-23.928344612184745</v>
      </c>
    </row>
    <row r="241" spans="1:4" x14ac:dyDescent="0.25">
      <c r="A241" s="62">
        <v>45923</v>
      </c>
      <c r="B241" s="60">
        <v>27.063697678654446</v>
      </c>
      <c r="C241" s="61">
        <v>139812</v>
      </c>
      <c r="D241" s="60">
        <v>-23.869512748770177</v>
      </c>
    </row>
    <row r="242" spans="1:4" x14ac:dyDescent="0.25">
      <c r="A242" s="62">
        <v>45922</v>
      </c>
      <c r="B242" s="60">
        <v>29.162396322384037</v>
      </c>
      <c r="C242" s="61">
        <v>236998</v>
      </c>
      <c r="D242" s="60">
        <v>-22.797501198164678</v>
      </c>
    </row>
    <row r="243" spans="1:4" x14ac:dyDescent="0.25">
      <c r="A243" s="62">
        <v>45919</v>
      </c>
      <c r="B243" s="60">
        <v>29.961641660799209</v>
      </c>
      <c r="C243" s="61">
        <v>30291</v>
      </c>
      <c r="D243" s="60">
        <v>-22.212082215622079</v>
      </c>
    </row>
    <row r="244" spans="1:4" x14ac:dyDescent="0.25">
      <c r="A244" s="62">
        <v>45918</v>
      </c>
      <c r="B244" s="60">
        <v>31.418769216549272</v>
      </c>
      <c r="C244" s="61">
        <v>82141</v>
      </c>
      <c r="D244" s="60">
        <v>-22.113820033111683</v>
      </c>
    </row>
    <row r="245" spans="1:4" x14ac:dyDescent="0.25">
      <c r="A245" s="62">
        <v>45917</v>
      </c>
      <c r="B245" s="60">
        <v>30.945746465242355</v>
      </c>
      <c r="C245" s="61">
        <v>121441</v>
      </c>
      <c r="D245" s="60">
        <v>-21.60988021783589</v>
      </c>
    </row>
    <row r="246" spans="1:4" x14ac:dyDescent="0.25">
      <c r="A246" s="62">
        <v>45916</v>
      </c>
      <c r="B246" s="60">
        <v>30.967494637716243</v>
      </c>
      <c r="C246" s="61">
        <v>122759</v>
      </c>
      <c r="D246" s="60">
        <v>-21.852799973139152</v>
      </c>
    </row>
    <row r="247" spans="1:4" x14ac:dyDescent="0.25">
      <c r="A247" s="62">
        <v>45915</v>
      </c>
      <c r="B247" s="60">
        <v>31.783051105486809</v>
      </c>
      <c r="C247" s="61">
        <v>21158</v>
      </c>
      <c r="D247" s="60">
        <v>-21.710218602152988</v>
      </c>
    </row>
    <row r="248" spans="1:4" x14ac:dyDescent="0.25">
      <c r="A248" s="62">
        <v>45912</v>
      </c>
      <c r="B248" s="60">
        <v>32.386562891637027</v>
      </c>
      <c r="C248" s="61">
        <v>142466</v>
      </c>
      <c r="D248" s="60">
        <v>-21.824349972368324</v>
      </c>
    </row>
    <row r="249" spans="1:4" x14ac:dyDescent="0.25">
      <c r="A249" s="62">
        <v>45911</v>
      </c>
      <c r="B249" s="60">
        <v>32.696474349389831</v>
      </c>
      <c r="C249" s="61">
        <v>24946</v>
      </c>
      <c r="D249" s="60">
        <v>-21.588227663583925</v>
      </c>
    </row>
    <row r="250" spans="1:4" x14ac:dyDescent="0.25">
      <c r="A250" s="62">
        <v>45910</v>
      </c>
      <c r="B250" s="60">
        <v>32.332192460452319</v>
      </c>
      <c r="C250" s="61">
        <v>36857</v>
      </c>
      <c r="D250" s="60">
        <v>-21.68742236160378</v>
      </c>
    </row>
    <row r="251" spans="1:4" x14ac:dyDescent="0.25">
      <c r="A251" s="62">
        <v>45909</v>
      </c>
      <c r="B251" s="60">
        <v>30.679331352437295</v>
      </c>
      <c r="C251" s="61">
        <v>48380</v>
      </c>
      <c r="D251" s="60">
        <v>-21.960395236073495</v>
      </c>
    </row>
    <row r="252" spans="1:4" x14ac:dyDescent="0.25">
      <c r="A252" s="62">
        <v>45908</v>
      </c>
      <c r="B252" s="60">
        <v>29.178707451739459</v>
      </c>
      <c r="C252" s="61">
        <v>44785</v>
      </c>
      <c r="D252" s="60">
        <v>-22.58204405674396</v>
      </c>
    </row>
    <row r="253" spans="1:4" x14ac:dyDescent="0.25">
      <c r="A253" s="62">
        <v>45905</v>
      </c>
      <c r="B253" s="60">
        <v>31.543821208274107</v>
      </c>
      <c r="C253" s="61">
        <v>118281</v>
      </c>
      <c r="D253" s="60">
        <v>-23.010409524783338</v>
      </c>
    </row>
    <row r="254" spans="1:4" x14ac:dyDescent="0.25">
      <c r="A254" s="62">
        <v>45904</v>
      </c>
      <c r="B254" s="60">
        <v>31.853732666026911</v>
      </c>
      <c r="C254" s="61">
        <v>66570</v>
      </c>
      <c r="D254" s="60">
        <v>-23.035298304616415</v>
      </c>
    </row>
    <row r="255" spans="1:4" x14ac:dyDescent="0.25">
      <c r="A255" s="62">
        <v>45903</v>
      </c>
      <c r="B255" s="60">
        <v>29.901834186496014</v>
      </c>
      <c r="C255" s="61">
        <v>41114</v>
      </c>
      <c r="D255" s="60">
        <v>-23.064560804319591</v>
      </c>
    </row>
    <row r="256" spans="1:4" x14ac:dyDescent="0.25">
      <c r="A256" s="62">
        <v>45902</v>
      </c>
      <c r="B256" s="60">
        <v>30.619523878134128</v>
      </c>
      <c r="C256" s="61">
        <v>115039</v>
      </c>
      <c r="D256" s="60">
        <v>-23.127959662728173</v>
      </c>
    </row>
    <row r="257" spans="1:4" x14ac:dyDescent="0.25">
      <c r="A257" s="62">
        <v>45901</v>
      </c>
      <c r="B257" s="60">
        <v>27.683520594160086</v>
      </c>
      <c r="C257" s="61">
        <v>15675</v>
      </c>
      <c r="D257" s="60">
        <v>-23.372179751718726</v>
      </c>
    </row>
    <row r="258" spans="1:4" x14ac:dyDescent="0.25">
      <c r="A258" s="62">
        <v>45898</v>
      </c>
      <c r="B258" s="60">
        <v>25.660940554089063</v>
      </c>
      <c r="C258" s="61">
        <v>31874</v>
      </c>
      <c r="D258" s="60">
        <v>-23.626586704360925</v>
      </c>
    </row>
    <row r="259" spans="1:4" x14ac:dyDescent="0.25">
      <c r="A259" s="62">
        <v>45897</v>
      </c>
      <c r="B259" s="60">
        <v>26.389504331964105</v>
      </c>
      <c r="C259" s="61">
        <v>33819</v>
      </c>
      <c r="D259" s="60">
        <v>-23.848360672352449</v>
      </c>
    </row>
    <row r="260" spans="1:4" x14ac:dyDescent="0.25">
      <c r="A260" s="62">
        <v>45896</v>
      </c>
      <c r="B260" s="63" t="s">
        <v>108</v>
      </c>
      <c r="C260" s="63" t="s">
        <v>108</v>
      </c>
      <c r="D260" s="60">
        <v>-23.441069246345116</v>
      </c>
    </row>
    <row r="261" spans="1:4" x14ac:dyDescent="0.25">
      <c r="A261" s="62">
        <v>45895</v>
      </c>
      <c r="B261" s="60">
        <v>26.558052668636687</v>
      </c>
      <c r="C261" s="61">
        <v>55907</v>
      </c>
      <c r="D261" s="60">
        <v>-22.856395274181818</v>
      </c>
    </row>
    <row r="262" spans="1:4" x14ac:dyDescent="0.25">
      <c r="A262" s="62">
        <v>45894</v>
      </c>
      <c r="B262" s="60">
        <v>25.340155010099323</v>
      </c>
      <c r="C262" s="61">
        <v>37180</v>
      </c>
      <c r="D262" s="60">
        <v>-22.860598377583155</v>
      </c>
    </row>
    <row r="263" spans="1:4" x14ac:dyDescent="0.25">
      <c r="A263" s="62">
        <v>45891</v>
      </c>
      <c r="B263" s="60">
        <v>26.34057094389787</v>
      </c>
      <c r="C263" s="61">
        <v>21845</v>
      </c>
      <c r="D263" s="60">
        <v>-23.374750918954707</v>
      </c>
    </row>
    <row r="264" spans="1:4" x14ac:dyDescent="0.25">
      <c r="A264" s="62">
        <v>45890</v>
      </c>
      <c r="B264" s="60">
        <v>28.20003969041478</v>
      </c>
      <c r="C264" s="61">
        <v>19926</v>
      </c>
      <c r="D264" s="60">
        <v>-23.032090600969465</v>
      </c>
    </row>
    <row r="265" spans="1:4" x14ac:dyDescent="0.25">
      <c r="A265" s="62">
        <v>45889</v>
      </c>
      <c r="B265" s="60">
        <v>29.412500305833674</v>
      </c>
      <c r="C265" s="61">
        <v>50459</v>
      </c>
      <c r="D265" s="60">
        <v>-22.923802702263568</v>
      </c>
    </row>
    <row r="266" spans="1:4" x14ac:dyDescent="0.25">
      <c r="A266" s="62">
        <v>45888</v>
      </c>
      <c r="B266" s="60">
        <v>26.188333736580713</v>
      </c>
      <c r="C266" s="61">
        <v>30416</v>
      </c>
      <c r="D266" s="60">
        <v>-23.623616528486874</v>
      </c>
    </row>
    <row r="267" spans="1:4" x14ac:dyDescent="0.25">
      <c r="A267" s="62">
        <v>45887</v>
      </c>
      <c r="B267" s="60">
        <v>24.388672464366994</v>
      </c>
      <c r="C267" s="61">
        <v>123344</v>
      </c>
      <c r="D267" s="60">
        <v>-24.21334606265798</v>
      </c>
    </row>
    <row r="268" spans="1:4" x14ac:dyDescent="0.25">
      <c r="A268" s="62">
        <v>45884</v>
      </c>
      <c r="B268" s="63" t="s">
        <v>108</v>
      </c>
      <c r="C268" s="63" t="s">
        <v>108</v>
      </c>
      <c r="D268" s="60">
        <v>-24.905653783709035</v>
      </c>
    </row>
    <row r="269" spans="1:4" x14ac:dyDescent="0.25">
      <c r="A269" s="62">
        <v>45883</v>
      </c>
      <c r="B269" s="60">
        <v>18.456858422115715</v>
      </c>
      <c r="C269" s="61">
        <v>30436</v>
      </c>
      <c r="D269" s="60">
        <v>-25.004082085605074</v>
      </c>
    </row>
    <row r="270" spans="1:4" x14ac:dyDescent="0.25">
      <c r="A270" s="62">
        <v>45882</v>
      </c>
      <c r="B270" s="60">
        <v>19.32134827795252</v>
      </c>
      <c r="C270" s="61">
        <v>59779</v>
      </c>
      <c r="D270" s="60">
        <v>-24.846725674350679</v>
      </c>
    </row>
    <row r="271" spans="1:4" x14ac:dyDescent="0.25">
      <c r="A271" s="62">
        <v>45881</v>
      </c>
      <c r="B271" s="60">
        <v>18.663466060617598</v>
      </c>
      <c r="C271" s="61">
        <v>35181</v>
      </c>
      <c r="D271" s="60">
        <v>-25.405592627978514</v>
      </c>
    </row>
    <row r="272" spans="1:4" x14ac:dyDescent="0.25">
      <c r="A272" s="62">
        <v>45880</v>
      </c>
      <c r="B272" s="60">
        <v>20.283704909921806</v>
      </c>
      <c r="C272" s="61">
        <v>120909</v>
      </c>
      <c r="D272" s="60">
        <v>-25.374680681620966</v>
      </c>
    </row>
    <row r="273" spans="1:4" x14ac:dyDescent="0.25">
      <c r="A273" s="62">
        <v>45877</v>
      </c>
      <c r="B273" s="60">
        <v>19.332222364189477</v>
      </c>
      <c r="C273" s="61">
        <v>62359</v>
      </c>
      <c r="D273" s="60">
        <v>-25.650222088385579</v>
      </c>
    </row>
    <row r="274" spans="1:4" x14ac:dyDescent="0.25">
      <c r="A274" s="62">
        <v>45876</v>
      </c>
      <c r="B274" s="60">
        <v>21.550535956525405</v>
      </c>
      <c r="C274" s="61">
        <v>57086</v>
      </c>
      <c r="D274" s="60">
        <v>-25.299093921337946</v>
      </c>
    </row>
    <row r="275" spans="1:4" x14ac:dyDescent="0.25">
      <c r="A275" s="62">
        <v>45875</v>
      </c>
      <c r="B275" s="60">
        <v>21.425483964800598</v>
      </c>
      <c r="C275" s="61">
        <v>44756</v>
      </c>
      <c r="D275" s="60">
        <v>-25.585768577616413</v>
      </c>
    </row>
    <row r="276" spans="1:4" x14ac:dyDescent="0.25">
      <c r="A276" s="62">
        <v>45874</v>
      </c>
      <c r="B276" s="60">
        <v>23.25776749572513</v>
      </c>
      <c r="C276" s="61">
        <v>24970</v>
      </c>
      <c r="D276" s="60">
        <v>-25.383474284841633</v>
      </c>
    </row>
    <row r="277" spans="1:4" x14ac:dyDescent="0.25">
      <c r="A277" s="62">
        <v>45873</v>
      </c>
      <c r="B277" s="60">
        <v>23.820501458486817</v>
      </c>
      <c r="C277" s="61">
        <v>30796</v>
      </c>
      <c r="D277" s="60">
        <v>-25.541387814651884</v>
      </c>
    </row>
    <row r="278" spans="1:4" x14ac:dyDescent="0.25">
      <c r="A278" s="62">
        <v>45870</v>
      </c>
      <c r="B278" s="60">
        <v>23.744382854828228</v>
      </c>
      <c r="C278" s="61">
        <v>63022</v>
      </c>
      <c r="D278" s="60">
        <v>-25.842822525818686</v>
      </c>
    </row>
    <row r="279" spans="1:4" x14ac:dyDescent="0.25">
      <c r="A279" s="62">
        <v>45869</v>
      </c>
      <c r="B279" s="60">
        <v>22.303566428433559</v>
      </c>
      <c r="C279" s="61">
        <v>47772</v>
      </c>
      <c r="D279" s="60">
        <v>-25.585865764719347</v>
      </c>
    </row>
    <row r="280" spans="1:4" x14ac:dyDescent="0.25">
      <c r="A280" s="62">
        <v>45868</v>
      </c>
      <c r="B280" s="60">
        <v>21.349365361142009</v>
      </c>
      <c r="C280" s="61">
        <v>50958</v>
      </c>
      <c r="D280" s="60">
        <v>-24.897290525090661</v>
      </c>
    </row>
    <row r="281" spans="1:4" x14ac:dyDescent="0.25">
      <c r="A281" s="62">
        <v>45867</v>
      </c>
      <c r="B281" s="60">
        <v>20.963335299730613</v>
      </c>
      <c r="C281" s="61">
        <v>46294</v>
      </c>
      <c r="D281" s="60">
        <v>-25.180508298619305</v>
      </c>
    </row>
    <row r="282" spans="1:4" x14ac:dyDescent="0.25">
      <c r="A282" s="62">
        <v>45866</v>
      </c>
      <c r="B282" s="60">
        <v>21.324898667108876</v>
      </c>
      <c r="C282" s="61">
        <v>67232</v>
      </c>
      <c r="D282" s="60">
        <v>-25.2957912149975</v>
      </c>
    </row>
    <row r="283" spans="1:4" x14ac:dyDescent="0.25">
      <c r="A283" s="62">
        <v>45863</v>
      </c>
      <c r="B283" s="60">
        <v>23.692730945202765</v>
      </c>
      <c r="C283" s="61">
        <v>188022</v>
      </c>
      <c r="D283" s="60">
        <v>-24.986023414834783</v>
      </c>
    </row>
    <row r="284" spans="1:4" x14ac:dyDescent="0.25">
      <c r="A284" s="62">
        <v>45862</v>
      </c>
      <c r="B284" s="60">
        <v>26.147555913192182</v>
      </c>
      <c r="C284" s="61">
        <v>247300</v>
      </c>
      <c r="D284" s="60">
        <v>-24.32694967799867</v>
      </c>
    </row>
    <row r="285" spans="1:4" x14ac:dyDescent="0.25">
      <c r="A285" s="62">
        <v>45861</v>
      </c>
      <c r="B285" s="60">
        <v>33.359793609843237</v>
      </c>
      <c r="C285" s="61">
        <v>37312</v>
      </c>
      <c r="D285" s="60">
        <v>-24.052969831755242</v>
      </c>
    </row>
    <row r="286" spans="1:4" x14ac:dyDescent="0.25">
      <c r="A286" s="62">
        <v>45860</v>
      </c>
      <c r="B286" s="60">
        <v>32.813370776436948</v>
      </c>
      <c r="C286" s="61">
        <v>33918</v>
      </c>
      <c r="D286" s="60">
        <v>-24.18009707090453</v>
      </c>
    </row>
    <row r="287" spans="1:4" x14ac:dyDescent="0.25">
      <c r="A287" s="62">
        <v>45859</v>
      </c>
      <c r="B287" s="60">
        <v>34.449920755096549</v>
      </c>
      <c r="C287" s="61">
        <v>37730</v>
      </c>
      <c r="D287" s="60">
        <v>-24.304052176876048</v>
      </c>
    </row>
    <row r="288" spans="1:4" x14ac:dyDescent="0.25">
      <c r="A288" s="62">
        <v>45856</v>
      </c>
      <c r="B288" s="60">
        <v>34.447202233537332</v>
      </c>
      <c r="C288" s="61">
        <v>22186</v>
      </c>
      <c r="D288" s="60">
        <v>-24.412838206381139</v>
      </c>
    </row>
    <row r="289" spans="1:4" x14ac:dyDescent="0.25">
      <c r="A289" s="62">
        <v>45855</v>
      </c>
      <c r="B289" s="60">
        <v>33.139593363545174</v>
      </c>
      <c r="C289" s="61">
        <v>35372</v>
      </c>
      <c r="D289" s="60">
        <v>-24.697664527287408</v>
      </c>
    </row>
    <row r="290" spans="1:4" x14ac:dyDescent="0.25">
      <c r="A290" s="62">
        <v>45854</v>
      </c>
      <c r="B290" s="60">
        <v>33.895342357012574</v>
      </c>
      <c r="C290" s="61">
        <v>178670</v>
      </c>
      <c r="D290" s="60">
        <v>-25.070523359706439</v>
      </c>
    </row>
    <row r="291" spans="1:4" x14ac:dyDescent="0.25">
      <c r="A291" s="62">
        <v>45853</v>
      </c>
      <c r="B291" s="60">
        <v>31.399739565634629</v>
      </c>
      <c r="C291" s="61">
        <v>66274</v>
      </c>
      <c r="D291" s="60">
        <v>-25.173613965467105</v>
      </c>
    </row>
    <row r="292" spans="1:4" x14ac:dyDescent="0.25">
      <c r="A292" s="62">
        <v>45852</v>
      </c>
      <c r="B292" s="60">
        <v>30.135627040590251</v>
      </c>
      <c r="C292" s="61">
        <v>16354</v>
      </c>
      <c r="D292" s="60">
        <v>-25.327624362843771</v>
      </c>
    </row>
    <row r="293" spans="1:4" x14ac:dyDescent="0.25">
      <c r="A293" s="62">
        <v>45849</v>
      </c>
      <c r="B293" s="60">
        <v>30.619523878134128</v>
      </c>
      <c r="C293" s="61">
        <v>20096</v>
      </c>
      <c r="D293" s="60">
        <v>-25.535932895567267</v>
      </c>
    </row>
    <row r="294" spans="1:4" x14ac:dyDescent="0.25">
      <c r="A294" s="62">
        <v>45848</v>
      </c>
      <c r="B294" s="60">
        <v>30.546123796034781</v>
      </c>
      <c r="C294" s="61">
        <v>20076</v>
      </c>
      <c r="D294" s="60">
        <v>-25.763877711624012</v>
      </c>
    </row>
    <row r="295" spans="1:4" x14ac:dyDescent="0.25">
      <c r="A295" s="62">
        <v>45847</v>
      </c>
      <c r="B295" s="60">
        <v>31.957036485277854</v>
      </c>
      <c r="C295" s="61">
        <v>54872</v>
      </c>
      <c r="D295" s="60">
        <v>-25.788181527365737</v>
      </c>
    </row>
    <row r="296" spans="1:4" x14ac:dyDescent="0.25">
      <c r="A296" s="62">
        <v>45846</v>
      </c>
      <c r="B296" s="60">
        <v>31.462265561497048</v>
      </c>
      <c r="C296" s="61">
        <v>37336</v>
      </c>
      <c r="D296" s="60">
        <v>-26.000407322260013</v>
      </c>
    </row>
    <row r="297" spans="1:4" x14ac:dyDescent="0.25">
      <c r="A297" s="62">
        <v>45845</v>
      </c>
      <c r="B297" s="60">
        <v>31.736836238979791</v>
      </c>
      <c r="C297" s="61">
        <v>38632</v>
      </c>
      <c r="D297" s="60">
        <v>-26.032736982970313</v>
      </c>
    </row>
    <row r="298" spans="1:4" x14ac:dyDescent="0.25">
      <c r="A298" s="62">
        <v>45842</v>
      </c>
      <c r="B298" s="60">
        <v>30.056789915372441</v>
      </c>
      <c r="C298" s="61">
        <v>157838</v>
      </c>
      <c r="D298" s="60">
        <v>-26.142544216464572</v>
      </c>
    </row>
    <row r="299" spans="1:4" x14ac:dyDescent="0.25">
      <c r="A299" s="62">
        <v>45841</v>
      </c>
      <c r="B299" s="60">
        <v>29.866493406225974</v>
      </c>
      <c r="C299" s="61">
        <v>46314</v>
      </c>
      <c r="D299" s="60">
        <v>-26.025614555544415</v>
      </c>
    </row>
    <row r="300" spans="1:4" x14ac:dyDescent="0.25">
      <c r="A300" s="62">
        <v>45840</v>
      </c>
      <c r="B300" s="60">
        <v>29.850182276870552</v>
      </c>
      <c r="C300" s="61">
        <v>53620</v>
      </c>
      <c r="D300" s="60">
        <v>-26.353565801951291</v>
      </c>
    </row>
    <row r="301" spans="1:4" x14ac:dyDescent="0.25">
      <c r="A301" s="62">
        <v>45839</v>
      </c>
      <c r="B301" s="60">
        <v>31.046331762934052</v>
      </c>
      <c r="C301" s="61">
        <v>61266</v>
      </c>
      <c r="D301" s="60">
        <v>-26.376748809261571</v>
      </c>
    </row>
    <row r="302" spans="1:4" x14ac:dyDescent="0.25">
      <c r="A302" s="62">
        <v>45838</v>
      </c>
      <c r="B302" s="60">
        <v>34.053016607448221</v>
      </c>
      <c r="C302" s="61">
        <v>142462</v>
      </c>
      <c r="D302" s="60">
        <v>-26.424727966765243</v>
      </c>
    </row>
    <row r="303" spans="1:4" x14ac:dyDescent="0.25">
      <c r="A303" s="62">
        <v>45835</v>
      </c>
      <c r="B303" s="60">
        <v>33.628927244207517</v>
      </c>
      <c r="C303" s="61">
        <v>67774</v>
      </c>
      <c r="D303" s="60">
        <v>-26.505812857343013</v>
      </c>
    </row>
    <row r="304" spans="1:4" x14ac:dyDescent="0.25">
      <c r="A304" s="62">
        <v>45834</v>
      </c>
      <c r="B304" s="60">
        <v>32.109273692595039</v>
      </c>
      <c r="C304" s="61">
        <v>127242</v>
      </c>
      <c r="D304" s="60">
        <v>-26.603160641145106</v>
      </c>
    </row>
    <row r="305" spans="1:4" x14ac:dyDescent="0.25">
      <c r="A305" s="62">
        <v>45833</v>
      </c>
      <c r="B305" s="60">
        <v>30.730983262062757</v>
      </c>
      <c r="C305" s="61">
        <v>74554</v>
      </c>
      <c r="D305" s="60">
        <v>-27.059261735153388</v>
      </c>
    </row>
    <row r="306" spans="1:4" x14ac:dyDescent="0.25">
      <c r="A306" s="62">
        <v>45832</v>
      </c>
      <c r="B306" s="60">
        <v>28.863358950868161</v>
      </c>
      <c r="C306" s="61">
        <v>144288</v>
      </c>
      <c r="D306" s="60">
        <v>-27.455960190938061</v>
      </c>
    </row>
    <row r="307" spans="1:4" x14ac:dyDescent="0.25">
      <c r="A307" s="62">
        <v>45831</v>
      </c>
      <c r="B307" s="60">
        <v>28.276158294073369</v>
      </c>
      <c r="C307" s="61">
        <v>74096</v>
      </c>
      <c r="D307" s="60">
        <v>-28.649608689865964</v>
      </c>
    </row>
    <row r="308" spans="1:4" x14ac:dyDescent="0.25">
      <c r="A308" s="62">
        <v>45828</v>
      </c>
      <c r="B308" s="60">
        <v>28.567040100911534</v>
      </c>
      <c r="C308" s="61">
        <v>173918</v>
      </c>
      <c r="D308" s="60">
        <v>-28.192916358069162</v>
      </c>
    </row>
    <row r="309" spans="1:4" x14ac:dyDescent="0.25">
      <c r="A309" s="62">
        <v>45827</v>
      </c>
      <c r="B309" s="60">
        <v>26.085029917329766</v>
      </c>
      <c r="C309" s="61">
        <v>129444</v>
      </c>
      <c r="D309" s="60">
        <v>-28.617397476451163</v>
      </c>
    </row>
    <row r="310" spans="1:4" x14ac:dyDescent="0.25">
      <c r="A310" s="62">
        <v>45826</v>
      </c>
      <c r="B310" s="60">
        <v>27.172438541023855</v>
      </c>
      <c r="C310" s="61">
        <v>12360</v>
      </c>
      <c r="D310" s="60">
        <v>-27.495480269522783</v>
      </c>
    </row>
    <row r="311" spans="1:4" x14ac:dyDescent="0.25">
      <c r="A311" s="62">
        <v>45825</v>
      </c>
      <c r="B311" s="60">
        <v>28.395773242679706</v>
      </c>
      <c r="C311" s="61">
        <v>15004</v>
      </c>
      <c r="D311" s="60">
        <v>-27.014280236836594</v>
      </c>
    </row>
    <row r="312" spans="1:4" x14ac:dyDescent="0.25">
      <c r="A312" s="62">
        <v>45824</v>
      </c>
      <c r="B312" s="60">
        <v>29.915426794292191</v>
      </c>
      <c r="C312" s="61">
        <v>16546</v>
      </c>
      <c r="D312" s="60">
        <v>-26.599343017210401</v>
      </c>
    </row>
    <row r="313" spans="1:4" x14ac:dyDescent="0.25">
      <c r="A313" s="62">
        <v>45821</v>
      </c>
      <c r="B313" s="60">
        <v>29.211329710450276</v>
      </c>
      <c r="C313" s="61">
        <v>25808</v>
      </c>
      <c r="D313" s="60">
        <v>-26.792290125380259</v>
      </c>
    </row>
    <row r="314" spans="1:4" x14ac:dyDescent="0.25">
      <c r="A314" s="62"/>
      <c r="B314" s="60"/>
      <c r="C314" s="61"/>
      <c r="D314" s="60"/>
    </row>
    <row r="315" spans="1:4" x14ac:dyDescent="0.25">
      <c r="A315" s="62"/>
      <c r="B315" s="60"/>
      <c r="C315" s="61"/>
      <c r="D315" s="60"/>
    </row>
    <row r="316" spans="1:4" x14ac:dyDescent="0.25">
      <c r="A316" s="62"/>
      <c r="B316" s="60"/>
      <c r="C316" s="61"/>
      <c r="D316" s="60"/>
    </row>
    <row r="317" spans="1:4" x14ac:dyDescent="0.25">
      <c r="A317" s="62"/>
      <c r="B317" s="60"/>
      <c r="C317" s="61"/>
      <c r="D317" s="60"/>
    </row>
    <row r="318" spans="1:4" x14ac:dyDescent="0.25">
      <c r="A318" s="62"/>
      <c r="B318" s="60"/>
      <c r="C318" s="61"/>
      <c r="D318" s="60"/>
    </row>
    <row r="319" spans="1:4" x14ac:dyDescent="0.25">
      <c r="A319" s="62"/>
      <c r="B319" s="60"/>
      <c r="C319" s="61"/>
      <c r="D319" s="60"/>
    </row>
    <row r="320" spans="1:4" x14ac:dyDescent="0.25">
      <c r="A320" s="62"/>
      <c r="B320" s="60"/>
      <c r="C320" s="61"/>
      <c r="D320" s="60"/>
    </row>
    <row r="321" spans="1:4" x14ac:dyDescent="0.25">
      <c r="A321" s="62"/>
      <c r="B321" s="60"/>
      <c r="C321" s="61"/>
      <c r="D321" s="60"/>
    </row>
    <row r="322" spans="1:4" x14ac:dyDescent="0.25">
      <c r="A322" s="62"/>
      <c r="B322" s="60"/>
      <c r="C322" s="61"/>
      <c r="D322" s="60"/>
    </row>
    <row r="323" spans="1:4" x14ac:dyDescent="0.25">
      <c r="A323" s="62"/>
      <c r="B323" s="60"/>
      <c r="C323" s="61"/>
      <c r="D323" s="60"/>
    </row>
    <row r="324" spans="1:4" x14ac:dyDescent="0.25">
      <c r="A324" s="62"/>
      <c r="B324" s="60"/>
      <c r="C324" s="61"/>
      <c r="D324" s="60"/>
    </row>
    <row r="325" spans="1:4" x14ac:dyDescent="0.25">
      <c r="A325" s="62"/>
      <c r="B325" s="60"/>
      <c r="C325" s="61"/>
      <c r="D325" s="60"/>
    </row>
    <row r="326" spans="1:4" x14ac:dyDescent="0.25">
      <c r="A326" s="62"/>
      <c r="B326" s="60"/>
      <c r="C326" s="61"/>
      <c r="D326" s="60"/>
    </row>
    <row r="327" spans="1:4" x14ac:dyDescent="0.25">
      <c r="A327" s="62"/>
      <c r="B327" s="60"/>
      <c r="C327" s="61"/>
      <c r="D327" s="60"/>
    </row>
    <row r="328" spans="1:4" x14ac:dyDescent="0.25">
      <c r="A328" s="62"/>
      <c r="B328" s="60"/>
      <c r="C328" s="61"/>
      <c r="D328" s="60"/>
    </row>
    <row r="329" spans="1:4" x14ac:dyDescent="0.25">
      <c r="A329" s="62"/>
      <c r="B329" s="60"/>
      <c r="C329" s="61"/>
      <c r="D329" s="60"/>
    </row>
    <row r="330" spans="1:4" x14ac:dyDescent="0.25">
      <c r="A330" s="62"/>
      <c r="B330" s="60"/>
      <c r="C330" s="61"/>
      <c r="D330" s="60"/>
    </row>
    <row r="331" spans="1:4" x14ac:dyDescent="0.25">
      <c r="A331" s="62"/>
      <c r="B331" s="60"/>
      <c r="C331" s="61"/>
      <c r="D331" s="60"/>
    </row>
    <row r="332" spans="1:4" x14ac:dyDescent="0.25">
      <c r="A332" s="62"/>
      <c r="B332" s="60"/>
      <c r="C332" s="61"/>
      <c r="D332" s="60"/>
    </row>
    <row r="333" spans="1:4" x14ac:dyDescent="0.25">
      <c r="A333" s="62"/>
      <c r="B333" s="60"/>
      <c r="C333" s="61"/>
      <c r="D333" s="60"/>
    </row>
    <row r="334" spans="1:4" x14ac:dyDescent="0.25">
      <c r="A334" s="62"/>
      <c r="B334" s="60"/>
      <c r="C334" s="61"/>
      <c r="D334" s="60"/>
    </row>
    <row r="335" spans="1:4" x14ac:dyDescent="0.25">
      <c r="A335" s="62"/>
      <c r="B335" s="60"/>
      <c r="C335" s="61"/>
      <c r="D335" s="60"/>
    </row>
    <row r="336" spans="1:4" x14ac:dyDescent="0.25">
      <c r="A336" s="62"/>
      <c r="B336" s="60"/>
      <c r="C336" s="61"/>
      <c r="D336" s="60"/>
    </row>
    <row r="337" spans="1:4" x14ac:dyDescent="0.25">
      <c r="A337" s="62"/>
      <c r="B337" s="60"/>
      <c r="C337" s="61"/>
      <c r="D337" s="60"/>
    </row>
    <row r="338" spans="1:4" x14ac:dyDescent="0.25">
      <c r="A338" s="62"/>
      <c r="B338" s="60"/>
      <c r="C338" s="61"/>
      <c r="D338" s="60"/>
    </row>
    <row r="339" spans="1:4" x14ac:dyDescent="0.25">
      <c r="A339" s="62"/>
      <c r="B339" s="60"/>
      <c r="C339" s="61"/>
      <c r="D339" s="60"/>
    </row>
    <row r="340" spans="1:4" x14ac:dyDescent="0.25">
      <c r="A340" s="62"/>
      <c r="B340" s="60"/>
      <c r="C340" s="61"/>
      <c r="D340" s="60"/>
    </row>
    <row r="341" spans="1:4" x14ac:dyDescent="0.25">
      <c r="A341" s="62"/>
      <c r="B341" s="60"/>
      <c r="C341" s="61"/>
      <c r="D341" s="60"/>
    </row>
    <row r="342" spans="1:4" x14ac:dyDescent="0.25">
      <c r="A342" s="62"/>
      <c r="B342" s="60"/>
      <c r="C342" s="61"/>
      <c r="D342" s="60"/>
    </row>
    <row r="343" spans="1:4" x14ac:dyDescent="0.25">
      <c r="A343" s="62"/>
      <c r="B343" s="60"/>
      <c r="C343" s="61"/>
      <c r="D343" s="60"/>
    </row>
    <row r="344" spans="1:4" x14ac:dyDescent="0.25">
      <c r="A344" s="62"/>
      <c r="B344" s="63"/>
      <c r="C344" s="63"/>
      <c r="D344" s="60"/>
    </row>
    <row r="345" spans="1:4" x14ac:dyDescent="0.25">
      <c r="A345" s="62"/>
      <c r="B345" s="60"/>
      <c r="C345" s="61"/>
      <c r="D345" s="60"/>
    </row>
    <row r="346" spans="1:4" x14ac:dyDescent="0.25">
      <c r="A346" s="62"/>
      <c r="B346" s="60"/>
      <c r="C346" s="61"/>
      <c r="D346" s="60"/>
    </row>
    <row r="347" spans="1:4" x14ac:dyDescent="0.25">
      <c r="A347" s="62"/>
      <c r="B347" s="60"/>
      <c r="C347" s="61"/>
      <c r="D347" s="60"/>
    </row>
    <row r="348" spans="1:4" x14ac:dyDescent="0.25">
      <c r="A348" s="62"/>
      <c r="B348" s="60"/>
      <c r="C348" s="61"/>
      <c r="D348" s="60"/>
    </row>
    <row r="349" spans="1:4" x14ac:dyDescent="0.25">
      <c r="A349" s="62"/>
      <c r="B349" s="60"/>
      <c r="C349" s="61"/>
      <c r="D349" s="60"/>
    </row>
    <row r="350" spans="1:4" x14ac:dyDescent="0.25">
      <c r="A350" s="62"/>
      <c r="B350" s="60"/>
      <c r="C350" s="61"/>
      <c r="D350" s="60"/>
    </row>
    <row r="351" spans="1:4" x14ac:dyDescent="0.25">
      <c r="A351" s="62"/>
      <c r="B351" s="60"/>
      <c r="C351" s="61"/>
      <c r="D351" s="60"/>
    </row>
    <row r="352" spans="1:4" x14ac:dyDescent="0.25">
      <c r="A352" s="62"/>
      <c r="B352" s="60"/>
      <c r="C352" s="61"/>
      <c r="D352" s="60"/>
    </row>
    <row r="353" spans="1:4" x14ac:dyDescent="0.25">
      <c r="A353" s="62"/>
      <c r="B353" s="63"/>
      <c r="C353" s="63"/>
      <c r="D353" s="60"/>
    </row>
    <row r="354" spans="1:4" x14ac:dyDescent="0.25">
      <c r="A354" s="62"/>
      <c r="B354" s="60"/>
      <c r="C354" s="61"/>
      <c r="D354" s="60"/>
    </row>
    <row r="355" spans="1:4" x14ac:dyDescent="0.25">
      <c r="A355" s="62"/>
      <c r="B355" s="60"/>
      <c r="C355" s="61"/>
      <c r="D355" s="60"/>
    </row>
    <row r="356" spans="1:4" x14ac:dyDescent="0.25">
      <c r="A356" s="62"/>
      <c r="B356" s="60"/>
      <c r="C356" s="61"/>
      <c r="D356" s="60"/>
    </row>
    <row r="357" spans="1:4" x14ac:dyDescent="0.25">
      <c r="A357" s="62"/>
      <c r="B357" s="63"/>
      <c r="C357" s="63"/>
      <c r="D357" s="60"/>
    </row>
    <row r="358" spans="1:4" x14ac:dyDescent="0.25">
      <c r="A358" s="62"/>
      <c r="B358" s="60"/>
      <c r="C358" s="61"/>
      <c r="D358" s="60"/>
    </row>
    <row r="359" spans="1:4" x14ac:dyDescent="0.25">
      <c r="A359" s="62"/>
      <c r="B359" s="63"/>
      <c r="C359" s="63"/>
      <c r="D359" s="60"/>
    </row>
    <row r="360" spans="1:4" x14ac:dyDescent="0.25">
      <c r="A360" s="62"/>
      <c r="B360" s="60"/>
      <c r="C360" s="61"/>
      <c r="D360" s="60"/>
    </row>
    <row r="361" spans="1:4" x14ac:dyDescent="0.25">
      <c r="A361" s="62"/>
      <c r="B361" s="60"/>
      <c r="C361" s="61"/>
      <c r="D361" s="60"/>
    </row>
    <row r="362" spans="1:4" x14ac:dyDescent="0.25">
      <c r="A362" s="62"/>
      <c r="B362" s="60"/>
      <c r="C362" s="61"/>
      <c r="D362" s="60"/>
    </row>
    <row r="363" spans="1:4" x14ac:dyDescent="0.25">
      <c r="A363" s="62"/>
      <c r="B363" s="60"/>
      <c r="C363" s="61"/>
      <c r="D363" s="60"/>
    </row>
    <row r="364" spans="1:4" x14ac:dyDescent="0.25">
      <c r="A364" s="62"/>
      <c r="B364" s="60"/>
      <c r="C364" s="61"/>
      <c r="D364" s="60"/>
    </row>
    <row r="365" spans="1:4" x14ac:dyDescent="0.25">
      <c r="A365" s="62"/>
      <c r="B365" s="60"/>
      <c r="C365" s="61"/>
      <c r="D365" s="60"/>
    </row>
    <row r="366" spans="1:4" x14ac:dyDescent="0.25">
      <c r="A366" s="62"/>
      <c r="B366" s="60"/>
      <c r="C366" s="61"/>
      <c r="D366" s="60"/>
    </row>
    <row r="367" spans="1:4" x14ac:dyDescent="0.25">
      <c r="A367" s="62"/>
      <c r="B367" s="63"/>
      <c r="C367" s="63"/>
      <c r="D367" s="60"/>
    </row>
    <row r="368" spans="1:4" x14ac:dyDescent="0.25">
      <c r="A368" s="62"/>
      <c r="B368" s="60"/>
      <c r="C368" s="61"/>
      <c r="D368" s="60"/>
    </row>
    <row r="369" spans="1:4" x14ac:dyDescent="0.25">
      <c r="A369" s="62"/>
      <c r="B369" s="60"/>
      <c r="C369" s="61"/>
      <c r="D369" s="60"/>
    </row>
    <row r="370" spans="1:4" x14ac:dyDescent="0.25">
      <c r="A370" s="62"/>
      <c r="B370" s="60"/>
      <c r="C370" s="61"/>
      <c r="D370" s="60"/>
    </row>
    <row r="371" spans="1:4" x14ac:dyDescent="0.25">
      <c r="A371" s="62"/>
      <c r="B371" s="60"/>
      <c r="C371" s="61"/>
      <c r="D371" s="60"/>
    </row>
    <row r="372" spans="1:4" x14ac:dyDescent="0.25">
      <c r="A372" s="62"/>
      <c r="B372" s="60"/>
      <c r="C372" s="61"/>
      <c r="D372" s="60"/>
    </row>
    <row r="373" spans="1:4" x14ac:dyDescent="0.25">
      <c r="A373" s="62"/>
      <c r="B373" s="60"/>
      <c r="C373" s="61"/>
      <c r="D373" s="60"/>
    </row>
    <row r="374" spans="1:4" x14ac:dyDescent="0.25">
      <c r="A374" s="62"/>
      <c r="B374" s="60"/>
      <c r="C374" s="61"/>
      <c r="D374" s="60"/>
    </row>
    <row r="375" spans="1:4" x14ac:dyDescent="0.25">
      <c r="A375" s="62"/>
      <c r="B375" s="60"/>
      <c r="C375" s="61"/>
      <c r="D375" s="60"/>
    </row>
    <row r="376" spans="1:4" x14ac:dyDescent="0.25">
      <c r="A376" s="62"/>
      <c r="B376" s="60"/>
      <c r="C376" s="61"/>
      <c r="D376" s="60"/>
    </row>
    <row r="377" spans="1:4" x14ac:dyDescent="0.25">
      <c r="A377" s="62"/>
      <c r="B377" s="60"/>
      <c r="C377" s="61"/>
      <c r="D377" s="60"/>
    </row>
    <row r="378" spans="1:4" x14ac:dyDescent="0.25">
      <c r="A378" s="62"/>
      <c r="B378" s="63"/>
      <c r="C378" s="63"/>
      <c r="D378" s="60"/>
    </row>
    <row r="379" spans="1:4" x14ac:dyDescent="0.25">
      <c r="A379" s="62"/>
      <c r="B379" s="60"/>
      <c r="C379" s="61"/>
      <c r="D379" s="60"/>
    </row>
    <row r="380" spans="1:4" x14ac:dyDescent="0.25">
      <c r="A380" s="62"/>
      <c r="B380" s="60"/>
      <c r="C380" s="61"/>
      <c r="D380" s="60"/>
    </row>
    <row r="381" spans="1:4" x14ac:dyDescent="0.25">
      <c r="A381" s="62"/>
      <c r="B381" s="60"/>
      <c r="C381" s="61"/>
      <c r="D381" s="60"/>
    </row>
    <row r="382" spans="1:4" x14ac:dyDescent="0.25">
      <c r="A382" s="62"/>
      <c r="B382" s="60"/>
      <c r="C382" s="61"/>
      <c r="D382" s="60"/>
    </row>
    <row r="383" spans="1:4" x14ac:dyDescent="0.25">
      <c r="A383" s="62"/>
      <c r="B383" s="60"/>
      <c r="C383" s="61"/>
      <c r="D383" s="60"/>
    </row>
    <row r="384" spans="1:4" x14ac:dyDescent="0.25">
      <c r="A384" s="62"/>
      <c r="B384" s="60"/>
      <c r="C384" s="61"/>
      <c r="D384" s="60"/>
    </row>
    <row r="385" spans="1:4" x14ac:dyDescent="0.25">
      <c r="A385" s="62"/>
      <c r="B385" s="60"/>
      <c r="C385" s="61"/>
      <c r="D385" s="60"/>
    </row>
    <row r="386" spans="1:4" x14ac:dyDescent="0.25">
      <c r="A386" s="62"/>
      <c r="B386" s="60"/>
      <c r="C386" s="61"/>
      <c r="D386" s="60"/>
    </row>
    <row r="387" spans="1:4" x14ac:dyDescent="0.25">
      <c r="A387" s="62"/>
      <c r="B387" s="60"/>
      <c r="C387" s="61"/>
      <c r="D387" s="60"/>
    </row>
    <row r="388" spans="1:4" x14ac:dyDescent="0.25">
      <c r="A388" s="62"/>
      <c r="B388" s="60"/>
      <c r="C388" s="61"/>
      <c r="D388" s="60"/>
    </row>
    <row r="389" spans="1:4" x14ac:dyDescent="0.25">
      <c r="A389" s="62"/>
      <c r="B389" s="60"/>
      <c r="C389" s="61"/>
      <c r="D389" s="60"/>
    </row>
    <row r="390" spans="1:4" x14ac:dyDescent="0.25">
      <c r="A390" s="62"/>
      <c r="B390" s="63"/>
      <c r="C390" s="63"/>
      <c r="D390" s="60"/>
    </row>
    <row r="391" spans="1:4" x14ac:dyDescent="0.25">
      <c r="A391" s="62"/>
      <c r="B391" s="60"/>
      <c r="C391" s="61"/>
      <c r="D391" s="60"/>
    </row>
    <row r="392" spans="1:4" x14ac:dyDescent="0.25">
      <c r="A392" s="62"/>
      <c r="B392" s="60"/>
      <c r="C392" s="61"/>
      <c r="D392" s="60"/>
    </row>
    <row r="393" spans="1:4" x14ac:dyDescent="0.25">
      <c r="A393" s="62"/>
      <c r="B393" s="60"/>
      <c r="C393" s="61"/>
      <c r="D393" s="60"/>
    </row>
    <row r="394" spans="1:4" x14ac:dyDescent="0.25">
      <c r="A394" s="62"/>
      <c r="B394" s="60"/>
      <c r="C394" s="61"/>
      <c r="D394" s="60"/>
    </row>
    <row r="395" spans="1:4" x14ac:dyDescent="0.25">
      <c r="A395" s="62"/>
      <c r="B395" s="60"/>
      <c r="C395" s="61"/>
      <c r="D395" s="60"/>
    </row>
    <row r="396" spans="1:4" x14ac:dyDescent="0.25">
      <c r="A396" s="62"/>
      <c r="B396" s="60"/>
      <c r="C396" s="61"/>
      <c r="D396" s="60"/>
    </row>
    <row r="397" spans="1:4" x14ac:dyDescent="0.25">
      <c r="A397" s="62"/>
      <c r="B397" s="60"/>
      <c r="C397" s="61"/>
      <c r="D397" s="60"/>
    </row>
    <row r="398" spans="1:4" x14ac:dyDescent="0.25">
      <c r="A398" s="62"/>
      <c r="B398" s="60"/>
      <c r="C398" s="61"/>
      <c r="D398" s="60"/>
    </row>
    <row r="399" spans="1:4" x14ac:dyDescent="0.25">
      <c r="A399" s="62"/>
      <c r="B399" s="60"/>
      <c r="C399" s="61"/>
      <c r="D399" s="60"/>
    </row>
    <row r="400" spans="1:4" x14ac:dyDescent="0.25">
      <c r="A400" s="62"/>
      <c r="B400" s="60"/>
      <c r="C400" s="61"/>
      <c r="D400" s="60"/>
    </row>
    <row r="401" spans="1:4" x14ac:dyDescent="0.25">
      <c r="A401" s="62"/>
      <c r="B401" s="60"/>
      <c r="C401" s="61"/>
      <c r="D401" s="60"/>
    </row>
    <row r="402" spans="1:4" x14ac:dyDescent="0.25">
      <c r="A402" s="62"/>
      <c r="B402" s="60"/>
      <c r="C402" s="61"/>
      <c r="D402" s="60"/>
    </row>
    <row r="403" spans="1:4" x14ac:dyDescent="0.25">
      <c r="A403" s="62"/>
      <c r="B403" s="60"/>
      <c r="C403" s="61"/>
      <c r="D403" s="60"/>
    </row>
    <row r="404" spans="1:4" x14ac:dyDescent="0.25">
      <c r="A404" s="62"/>
      <c r="B404" s="60"/>
      <c r="C404" s="61"/>
      <c r="D404" s="60"/>
    </row>
    <row r="405" spans="1:4" x14ac:dyDescent="0.25">
      <c r="A405" s="62"/>
      <c r="B405" s="60"/>
      <c r="C405" s="61"/>
      <c r="D405" s="60"/>
    </row>
    <row r="406" spans="1:4" x14ac:dyDescent="0.25">
      <c r="A406" s="62"/>
      <c r="B406" s="60"/>
      <c r="C406" s="61"/>
      <c r="D406" s="60"/>
    </row>
    <row r="407" spans="1:4" x14ac:dyDescent="0.25">
      <c r="A407" s="62"/>
      <c r="B407" s="60"/>
      <c r="C407" s="61"/>
      <c r="D407" s="60"/>
    </row>
    <row r="408" spans="1:4" x14ac:dyDescent="0.25">
      <c r="A408" s="62"/>
      <c r="B408" s="60"/>
      <c r="C408" s="61"/>
      <c r="D408" s="63"/>
    </row>
    <row r="409" spans="1:4" x14ac:dyDescent="0.25">
      <c r="A409" s="62"/>
      <c r="B409" s="60"/>
      <c r="C409" s="61"/>
      <c r="D409" s="60"/>
    </row>
    <row r="410" spans="1:4" x14ac:dyDescent="0.25">
      <c r="A410" s="62"/>
      <c r="B410" s="60"/>
      <c r="C410" s="61"/>
      <c r="D410" s="60"/>
    </row>
    <row r="411" spans="1:4" x14ac:dyDescent="0.25">
      <c r="A411" s="62"/>
      <c r="B411" s="60"/>
      <c r="C411" s="61"/>
      <c r="D411" s="60"/>
    </row>
    <row r="412" spans="1:4" x14ac:dyDescent="0.25">
      <c r="A412" s="62"/>
      <c r="B412" s="60"/>
      <c r="C412" s="61"/>
      <c r="D412" s="60"/>
    </row>
    <row r="413" spans="1:4" x14ac:dyDescent="0.25">
      <c r="A413" s="62"/>
      <c r="B413" s="60"/>
      <c r="C413" s="61"/>
      <c r="D413" s="60"/>
    </row>
    <row r="414" spans="1:4" x14ac:dyDescent="0.25">
      <c r="A414" s="62"/>
      <c r="B414" s="60"/>
      <c r="C414" s="61"/>
      <c r="D414" s="60"/>
    </row>
    <row r="415" spans="1:4" x14ac:dyDescent="0.25">
      <c r="A415" s="62"/>
      <c r="B415" s="60"/>
      <c r="C415" s="61"/>
      <c r="D415" s="60"/>
    </row>
    <row r="416" spans="1:4" x14ac:dyDescent="0.25">
      <c r="A416" s="62"/>
      <c r="B416" s="60"/>
      <c r="C416" s="61"/>
      <c r="D416" s="60"/>
    </row>
    <row r="417" spans="1:4" x14ac:dyDescent="0.25">
      <c r="A417" s="62"/>
      <c r="B417" s="60"/>
      <c r="C417" s="61"/>
      <c r="D417" s="60"/>
    </row>
    <row r="418" spans="1:4" x14ac:dyDescent="0.25">
      <c r="A418" s="62"/>
      <c r="B418" s="60"/>
      <c r="C418" s="61"/>
      <c r="D418" s="60"/>
    </row>
    <row r="419" spans="1:4" x14ac:dyDescent="0.25">
      <c r="A419" s="62"/>
      <c r="B419" s="60"/>
      <c r="C419" s="61"/>
      <c r="D419" s="60"/>
    </row>
    <row r="420" spans="1:4" x14ac:dyDescent="0.25">
      <c r="A420" s="62"/>
      <c r="B420" s="60"/>
      <c r="C420" s="61"/>
      <c r="D420" s="60"/>
    </row>
    <row r="421" spans="1:4" x14ac:dyDescent="0.25">
      <c r="A421" s="62"/>
      <c r="B421" s="60"/>
      <c r="C421" s="61"/>
      <c r="D421" s="60"/>
    </row>
    <row r="422" spans="1:4" x14ac:dyDescent="0.25">
      <c r="A422" s="62"/>
      <c r="B422" s="60"/>
      <c r="C422" s="61"/>
      <c r="D422" s="60"/>
    </row>
    <row r="423" spans="1:4" x14ac:dyDescent="0.25">
      <c r="A423" s="62"/>
      <c r="B423" s="60"/>
      <c r="C423" s="61"/>
      <c r="D423" s="60"/>
    </row>
    <row r="424" spans="1:4" x14ac:dyDescent="0.25">
      <c r="A424" s="62"/>
      <c r="B424" s="60"/>
      <c r="C424" s="61"/>
      <c r="D424" s="60"/>
    </row>
    <row r="425" spans="1:4" x14ac:dyDescent="0.25">
      <c r="A425" s="62"/>
      <c r="B425" s="60"/>
      <c r="C425" s="61"/>
      <c r="D425" s="60"/>
    </row>
    <row r="426" spans="1:4" x14ac:dyDescent="0.25">
      <c r="A426" s="62"/>
      <c r="B426" s="60"/>
      <c r="C426" s="61"/>
      <c r="D426" s="60"/>
    </row>
    <row r="427" spans="1:4" x14ac:dyDescent="0.25">
      <c r="A427" s="62"/>
      <c r="B427" s="60"/>
      <c r="C427" s="61"/>
      <c r="D427" s="60"/>
    </row>
    <row r="428" spans="1:4" x14ac:dyDescent="0.25">
      <c r="A428" s="62"/>
      <c r="B428" s="60"/>
      <c r="C428" s="61"/>
      <c r="D428" s="60"/>
    </row>
    <row r="429" spans="1:4" x14ac:dyDescent="0.25">
      <c r="A429" s="62"/>
      <c r="B429" s="60"/>
      <c r="C429" s="61"/>
      <c r="D429" s="60"/>
    </row>
    <row r="430" spans="1:4" x14ac:dyDescent="0.25">
      <c r="A430" s="62"/>
      <c r="B430" s="60"/>
      <c r="C430" s="61"/>
      <c r="D430" s="60"/>
    </row>
    <row r="431" spans="1:4" x14ac:dyDescent="0.25">
      <c r="A431" s="62"/>
      <c r="B431" s="60"/>
      <c r="C431" s="61"/>
      <c r="D431" s="60"/>
    </row>
    <row r="432" spans="1:4" x14ac:dyDescent="0.25">
      <c r="A432" s="62"/>
      <c r="B432" s="60"/>
      <c r="C432" s="61"/>
      <c r="D432" s="60"/>
    </row>
    <row r="433" spans="1:4" x14ac:dyDescent="0.25">
      <c r="A433" s="62"/>
      <c r="B433" s="60"/>
      <c r="C433" s="61"/>
      <c r="D433" s="60"/>
    </row>
    <row r="434" spans="1:4" x14ac:dyDescent="0.25">
      <c r="A434" s="62"/>
      <c r="B434" s="60"/>
      <c r="C434" s="61"/>
      <c r="D434" s="60"/>
    </row>
    <row r="435" spans="1:4" x14ac:dyDescent="0.25">
      <c r="A435" s="62"/>
      <c r="B435" s="60"/>
      <c r="C435" s="61"/>
      <c r="D435" s="60"/>
    </row>
    <row r="436" spans="1:4" x14ac:dyDescent="0.25">
      <c r="A436" s="62"/>
      <c r="B436" s="63"/>
      <c r="C436" s="63"/>
      <c r="D436" s="60"/>
    </row>
    <row r="437" spans="1:4" x14ac:dyDescent="0.25">
      <c r="A437" s="62"/>
      <c r="B437" s="60"/>
      <c r="C437" s="61"/>
      <c r="D437" s="60"/>
    </row>
    <row r="438" spans="1:4" x14ac:dyDescent="0.25">
      <c r="A438" s="62"/>
      <c r="B438" s="60"/>
      <c r="C438" s="61"/>
      <c r="D438" s="60"/>
    </row>
    <row r="439" spans="1:4" x14ac:dyDescent="0.25">
      <c r="A439" s="62"/>
      <c r="B439" s="60"/>
      <c r="C439" s="61"/>
      <c r="D439" s="60"/>
    </row>
    <row r="440" spans="1:4" x14ac:dyDescent="0.25">
      <c r="A440" s="62"/>
      <c r="B440" s="60"/>
      <c r="C440" s="61"/>
      <c r="D440" s="60"/>
    </row>
    <row r="441" spans="1:4" x14ac:dyDescent="0.25">
      <c r="A441" s="62"/>
      <c r="B441" s="60"/>
      <c r="C441" s="61"/>
      <c r="D441" s="60"/>
    </row>
    <row r="442" spans="1:4" x14ac:dyDescent="0.25">
      <c r="A442" s="62"/>
      <c r="B442" s="60"/>
      <c r="C442" s="61"/>
      <c r="D442" s="60"/>
    </row>
    <row r="443" spans="1:4" x14ac:dyDescent="0.25">
      <c r="A443" s="62"/>
      <c r="B443" s="60"/>
      <c r="C443" s="61"/>
      <c r="D443" s="60"/>
    </row>
    <row r="444" spans="1:4" x14ac:dyDescent="0.25">
      <c r="A444" s="62"/>
      <c r="B444" s="60"/>
      <c r="C444" s="61"/>
      <c r="D444" s="60"/>
    </row>
    <row r="445" spans="1:4" x14ac:dyDescent="0.25">
      <c r="A445" s="62"/>
      <c r="B445" s="60"/>
      <c r="C445" s="61"/>
      <c r="D445" s="60"/>
    </row>
    <row r="446" spans="1:4" x14ac:dyDescent="0.25">
      <c r="A446" s="62"/>
      <c r="B446" s="60"/>
      <c r="C446" s="61"/>
      <c r="D446" s="60"/>
    </row>
    <row r="447" spans="1:4" x14ac:dyDescent="0.25">
      <c r="A447" s="62"/>
      <c r="B447" s="60"/>
      <c r="C447" s="61"/>
      <c r="D447" s="60"/>
    </row>
    <row r="448" spans="1:4" x14ac:dyDescent="0.25">
      <c r="A448" s="62"/>
      <c r="B448" s="60"/>
      <c r="C448" s="61"/>
      <c r="D448" s="60"/>
    </row>
    <row r="449" spans="1:4" x14ac:dyDescent="0.25">
      <c r="A449" s="62"/>
      <c r="B449" s="60"/>
      <c r="C449" s="61"/>
      <c r="D449" s="60"/>
    </row>
    <row r="450" spans="1:4" x14ac:dyDescent="0.25">
      <c r="A450" s="62"/>
      <c r="B450" s="60"/>
      <c r="C450" s="61"/>
      <c r="D450" s="60"/>
    </row>
    <row r="451" spans="1:4" x14ac:dyDescent="0.25">
      <c r="A451" s="62"/>
      <c r="B451" s="60"/>
      <c r="C451" s="61"/>
      <c r="D451" s="60"/>
    </row>
    <row r="452" spans="1:4" x14ac:dyDescent="0.25">
      <c r="A452" s="62"/>
      <c r="B452" s="60"/>
      <c r="C452" s="61"/>
      <c r="D452" s="60"/>
    </row>
    <row r="453" spans="1:4" x14ac:dyDescent="0.25">
      <c r="A453" s="62"/>
      <c r="B453" s="60"/>
      <c r="C453" s="61"/>
      <c r="D453" s="60"/>
    </row>
    <row r="454" spans="1:4" x14ac:dyDescent="0.25">
      <c r="A454" s="62"/>
      <c r="B454" s="60"/>
      <c r="C454" s="61"/>
      <c r="D454" s="60"/>
    </row>
    <row r="455" spans="1:4" x14ac:dyDescent="0.25">
      <c r="A455" s="62"/>
      <c r="B455" s="60"/>
      <c r="C455" s="61"/>
      <c r="D455" s="60"/>
    </row>
    <row r="456" spans="1:4" x14ac:dyDescent="0.25">
      <c r="A456" s="62"/>
      <c r="B456" s="60"/>
      <c r="C456" s="61"/>
      <c r="D456" s="60"/>
    </row>
    <row r="457" spans="1:4" x14ac:dyDescent="0.25">
      <c r="A457" s="62"/>
      <c r="B457" s="60"/>
      <c r="C457" s="61"/>
      <c r="D457" s="60"/>
    </row>
    <row r="458" spans="1:4" x14ac:dyDescent="0.25">
      <c r="A458" s="62"/>
      <c r="B458" s="60"/>
      <c r="C458" s="61"/>
      <c r="D458" s="60"/>
    </row>
    <row r="459" spans="1:4" x14ac:dyDescent="0.25">
      <c r="A459" s="62"/>
      <c r="B459" s="60"/>
      <c r="C459" s="61"/>
      <c r="D459" s="60"/>
    </row>
    <row r="460" spans="1:4" x14ac:dyDescent="0.25">
      <c r="A460" s="62"/>
      <c r="B460" s="60"/>
      <c r="C460" s="61"/>
      <c r="D460" s="60"/>
    </row>
    <row r="461" spans="1:4" x14ac:dyDescent="0.25">
      <c r="A461" s="62"/>
      <c r="B461" s="63"/>
      <c r="C461" s="63"/>
      <c r="D461" s="60"/>
    </row>
    <row r="462" spans="1:4" x14ac:dyDescent="0.25">
      <c r="A462" s="62"/>
      <c r="B462" s="60"/>
      <c r="C462" s="61"/>
      <c r="D462" s="60"/>
    </row>
    <row r="463" spans="1:4" x14ac:dyDescent="0.25">
      <c r="A463" s="62"/>
      <c r="B463" s="60"/>
      <c r="C463" s="61"/>
      <c r="D463" s="60"/>
    </row>
    <row r="464" spans="1:4" x14ac:dyDescent="0.25">
      <c r="A464" s="62"/>
      <c r="B464" s="63"/>
      <c r="C464" s="63"/>
      <c r="D464" s="60"/>
    </row>
    <row r="465" spans="1:4" x14ac:dyDescent="0.25">
      <c r="A465" s="62"/>
      <c r="B465" s="60"/>
      <c r="C465" s="61"/>
      <c r="D465" s="60"/>
    </row>
    <row r="466" spans="1:4" x14ac:dyDescent="0.25">
      <c r="A466" s="62"/>
      <c r="B466" s="60"/>
      <c r="C466" s="61"/>
      <c r="D466" s="60"/>
    </row>
    <row r="467" spans="1:4" x14ac:dyDescent="0.25">
      <c r="A467" s="62"/>
      <c r="B467" s="60"/>
      <c r="C467" s="61"/>
      <c r="D467" s="60"/>
    </row>
    <row r="468" spans="1:4" x14ac:dyDescent="0.25">
      <c r="A468" s="62"/>
      <c r="B468" s="60"/>
      <c r="C468" s="61"/>
      <c r="D468" s="60"/>
    </row>
    <row r="469" spans="1:4" x14ac:dyDescent="0.25">
      <c r="A469" s="62"/>
      <c r="B469" s="60"/>
      <c r="C469" s="61"/>
      <c r="D469" s="60"/>
    </row>
    <row r="470" spans="1:4" x14ac:dyDescent="0.25">
      <c r="A470" s="62"/>
      <c r="B470" s="60"/>
      <c r="C470" s="61"/>
      <c r="D470" s="60"/>
    </row>
    <row r="471" spans="1:4" x14ac:dyDescent="0.25">
      <c r="A471" s="62"/>
      <c r="B471" s="60"/>
      <c r="C471" s="61"/>
      <c r="D471" s="60"/>
    </row>
    <row r="472" spans="1:4" x14ac:dyDescent="0.25">
      <c r="A472" s="62"/>
      <c r="B472" s="60"/>
      <c r="C472" s="61"/>
      <c r="D472" s="60"/>
    </row>
    <row r="473" spans="1:4" x14ac:dyDescent="0.25">
      <c r="A473" s="62"/>
      <c r="B473" s="60"/>
      <c r="C473" s="61"/>
      <c r="D473" s="60"/>
    </row>
    <row r="474" spans="1:4" x14ac:dyDescent="0.25">
      <c r="A474" s="62"/>
      <c r="B474" s="60"/>
      <c r="C474" s="61"/>
      <c r="D474" s="60"/>
    </row>
    <row r="475" spans="1:4" x14ac:dyDescent="0.25">
      <c r="A475" s="62"/>
      <c r="B475" s="60"/>
      <c r="C475" s="61"/>
      <c r="D475" s="60"/>
    </row>
    <row r="476" spans="1:4" x14ac:dyDescent="0.25">
      <c r="A476" s="62"/>
      <c r="B476" s="60"/>
      <c r="C476" s="61"/>
      <c r="D476" s="60"/>
    </row>
    <row r="477" spans="1:4" x14ac:dyDescent="0.25">
      <c r="A477" s="62"/>
      <c r="B477" s="60"/>
      <c r="C477" s="61"/>
      <c r="D477" s="60"/>
    </row>
    <row r="478" spans="1:4" x14ac:dyDescent="0.25">
      <c r="A478" s="62"/>
      <c r="B478" s="60"/>
      <c r="C478" s="61"/>
      <c r="D478" s="60"/>
    </row>
    <row r="479" spans="1:4" x14ac:dyDescent="0.25">
      <c r="A479" s="62"/>
      <c r="B479" s="60"/>
      <c r="C479" s="61"/>
      <c r="D479" s="60"/>
    </row>
    <row r="480" spans="1:4" x14ac:dyDescent="0.25">
      <c r="A480" s="62"/>
      <c r="B480" s="60"/>
      <c r="C480" s="61"/>
      <c r="D480" s="60"/>
    </row>
    <row r="481" spans="1:4" x14ac:dyDescent="0.25">
      <c r="A481" s="62"/>
      <c r="B481" s="60"/>
      <c r="C481" s="61"/>
      <c r="D481" s="60"/>
    </row>
    <row r="482" spans="1:4" x14ac:dyDescent="0.25">
      <c r="A482" s="62"/>
      <c r="B482" s="60"/>
      <c r="C482" s="61"/>
      <c r="D482" s="60"/>
    </row>
    <row r="483" spans="1:4" x14ac:dyDescent="0.25">
      <c r="A483" s="62"/>
      <c r="B483" s="60"/>
      <c r="C483" s="61"/>
      <c r="D483" s="60"/>
    </row>
    <row r="484" spans="1:4" x14ac:dyDescent="0.25">
      <c r="A484" s="62"/>
      <c r="B484" s="60"/>
      <c r="C484" s="61"/>
      <c r="D484" s="60"/>
    </row>
    <row r="485" spans="1:4" x14ac:dyDescent="0.25">
      <c r="A485" s="62"/>
      <c r="B485" s="60"/>
      <c r="C485" s="61"/>
      <c r="D485" s="60"/>
    </row>
    <row r="486" spans="1:4" x14ac:dyDescent="0.25">
      <c r="A486" s="62"/>
      <c r="B486" s="60"/>
      <c r="C486" s="61"/>
      <c r="D486" s="60"/>
    </row>
    <row r="487" spans="1:4" x14ac:dyDescent="0.25">
      <c r="A487" s="62"/>
      <c r="B487" s="60"/>
      <c r="C487" s="61"/>
      <c r="D487" s="60"/>
    </row>
    <row r="488" spans="1:4" x14ac:dyDescent="0.25">
      <c r="A488" s="62"/>
      <c r="B488" s="60"/>
      <c r="C488" s="61"/>
      <c r="D488" s="60"/>
    </row>
    <row r="489" spans="1:4" x14ac:dyDescent="0.25">
      <c r="A489" s="62"/>
      <c r="B489" s="60"/>
      <c r="C489" s="61"/>
      <c r="D489" s="60"/>
    </row>
    <row r="490" spans="1:4" x14ac:dyDescent="0.25">
      <c r="A490" s="62"/>
      <c r="B490" s="60"/>
      <c r="C490" s="61"/>
      <c r="D490" s="60"/>
    </row>
    <row r="491" spans="1:4" x14ac:dyDescent="0.25">
      <c r="A491" s="62"/>
      <c r="B491" s="60"/>
      <c r="C491" s="61"/>
      <c r="D491" s="60"/>
    </row>
    <row r="492" spans="1:4" x14ac:dyDescent="0.25">
      <c r="A492" s="62"/>
      <c r="B492" s="60"/>
      <c r="C492" s="61"/>
      <c r="D492" s="60"/>
    </row>
    <row r="493" spans="1:4" x14ac:dyDescent="0.25">
      <c r="A493" s="62"/>
      <c r="B493" s="60"/>
      <c r="C493" s="61"/>
      <c r="D493" s="60"/>
    </row>
    <row r="494" spans="1:4" x14ac:dyDescent="0.25">
      <c r="A494" s="62"/>
      <c r="B494" s="60"/>
      <c r="C494" s="61"/>
      <c r="D494" s="60"/>
    </row>
    <row r="495" spans="1:4" x14ac:dyDescent="0.25">
      <c r="A495" s="62"/>
      <c r="B495" s="60"/>
      <c r="C495" s="61"/>
      <c r="D495" s="60"/>
    </row>
    <row r="496" spans="1:4" x14ac:dyDescent="0.25">
      <c r="A496" s="62"/>
      <c r="B496" s="63"/>
      <c r="C496" s="63"/>
      <c r="D496" s="60"/>
    </row>
    <row r="497" spans="1:4" x14ac:dyDescent="0.25">
      <c r="A497" s="62"/>
      <c r="B497" s="60"/>
      <c r="C497" s="61"/>
      <c r="D497" s="60"/>
    </row>
    <row r="498" spans="1:4" x14ac:dyDescent="0.25">
      <c r="A498" s="62"/>
      <c r="B498" s="60"/>
      <c r="C498" s="61"/>
      <c r="D498" s="60"/>
    </row>
    <row r="499" spans="1:4" x14ac:dyDescent="0.25">
      <c r="A499" s="62"/>
      <c r="B499" s="60"/>
      <c r="C499" s="61"/>
      <c r="D499" s="60"/>
    </row>
    <row r="500" spans="1:4" x14ac:dyDescent="0.25">
      <c r="A500" s="62"/>
      <c r="B500" s="60"/>
      <c r="C500" s="61"/>
      <c r="D500" s="60"/>
    </row>
    <row r="501" spans="1:4" x14ac:dyDescent="0.25">
      <c r="A501" s="62"/>
      <c r="B501" s="60"/>
      <c r="C501" s="61"/>
      <c r="D501" s="60"/>
    </row>
    <row r="502" spans="1:4" x14ac:dyDescent="0.25">
      <c r="A502" s="62"/>
      <c r="B502" s="60"/>
      <c r="C502" s="61"/>
      <c r="D502" s="60"/>
    </row>
    <row r="503" spans="1:4" x14ac:dyDescent="0.25">
      <c r="A503" s="62"/>
      <c r="B503" s="60"/>
      <c r="C503" s="61"/>
      <c r="D503" s="60"/>
    </row>
    <row r="504" spans="1:4" x14ac:dyDescent="0.25">
      <c r="A504" s="62"/>
      <c r="B504" s="60"/>
      <c r="C504" s="61"/>
      <c r="D504" s="60"/>
    </row>
    <row r="505" spans="1:4" x14ac:dyDescent="0.25">
      <c r="A505" s="62"/>
      <c r="B505" s="60"/>
      <c r="C505" s="61"/>
      <c r="D505" s="60"/>
    </row>
    <row r="506" spans="1:4" x14ac:dyDescent="0.25">
      <c r="A506" s="62"/>
      <c r="B506" s="60"/>
      <c r="C506" s="61"/>
      <c r="D506" s="60"/>
    </row>
    <row r="507" spans="1:4" x14ac:dyDescent="0.25">
      <c r="A507" s="62"/>
      <c r="B507" s="60"/>
      <c r="C507" s="61"/>
      <c r="D507" s="60"/>
    </row>
    <row r="508" spans="1:4" x14ac:dyDescent="0.25">
      <c r="A508" s="62"/>
      <c r="B508" s="60"/>
      <c r="C508" s="61"/>
      <c r="D508" s="60"/>
    </row>
    <row r="509" spans="1:4" x14ac:dyDescent="0.25">
      <c r="A509" s="62"/>
      <c r="B509" s="60"/>
      <c r="C509" s="61"/>
      <c r="D509" s="60"/>
    </row>
    <row r="510" spans="1:4" x14ac:dyDescent="0.25">
      <c r="A510" s="62"/>
      <c r="B510" s="60"/>
      <c r="C510" s="61"/>
      <c r="D510" s="60"/>
    </row>
    <row r="511" spans="1:4" x14ac:dyDescent="0.25">
      <c r="A511" s="62"/>
      <c r="B511" s="60"/>
      <c r="C511" s="61"/>
      <c r="D511" s="60"/>
    </row>
    <row r="512" spans="1:4" x14ac:dyDescent="0.25">
      <c r="A512" s="62"/>
      <c r="B512" s="60"/>
      <c r="C512" s="61"/>
      <c r="D512" s="60"/>
    </row>
    <row r="513" spans="1:4" x14ac:dyDescent="0.25">
      <c r="A513" s="62"/>
      <c r="B513" s="60"/>
      <c r="C513" s="61"/>
      <c r="D513" s="60"/>
    </row>
    <row r="514" spans="1:4" x14ac:dyDescent="0.25">
      <c r="A514" s="62"/>
      <c r="B514" s="60"/>
      <c r="C514" s="61"/>
      <c r="D514" s="60"/>
    </row>
    <row r="515" spans="1:4" x14ac:dyDescent="0.25">
      <c r="A515" s="62"/>
      <c r="B515" s="60"/>
      <c r="C515" s="61"/>
      <c r="D515" s="60"/>
    </row>
    <row r="516" spans="1:4" x14ac:dyDescent="0.25">
      <c r="A516" s="62"/>
      <c r="B516" s="60"/>
      <c r="C516" s="61"/>
      <c r="D516" s="60"/>
    </row>
    <row r="517" spans="1:4" x14ac:dyDescent="0.25">
      <c r="A517" s="62"/>
      <c r="B517" s="60"/>
      <c r="C517" s="61"/>
      <c r="D517" s="60"/>
    </row>
    <row r="518" spans="1:4" x14ac:dyDescent="0.25">
      <c r="A518" s="62"/>
      <c r="B518" s="60"/>
      <c r="C518" s="61"/>
      <c r="D518" s="60"/>
    </row>
    <row r="519" spans="1:4" x14ac:dyDescent="0.25">
      <c r="A519" s="62"/>
      <c r="B519" s="60"/>
      <c r="C519" s="61"/>
      <c r="D519" s="60"/>
    </row>
    <row r="520" spans="1:4" x14ac:dyDescent="0.25">
      <c r="A520" s="62"/>
      <c r="B520" s="60"/>
      <c r="C520" s="61"/>
      <c r="D520" s="60"/>
    </row>
    <row r="521" spans="1:4" x14ac:dyDescent="0.25">
      <c r="A521" s="62"/>
      <c r="B521" s="60"/>
      <c r="C521" s="61"/>
      <c r="D521" s="60"/>
    </row>
    <row r="522" spans="1:4" x14ac:dyDescent="0.25">
      <c r="A522" s="62"/>
      <c r="B522" s="60"/>
      <c r="C522" s="61"/>
      <c r="D522" s="60"/>
    </row>
    <row r="523" spans="1:4" x14ac:dyDescent="0.25">
      <c r="A523" s="62"/>
      <c r="B523" s="60"/>
      <c r="C523" s="61"/>
      <c r="D523" s="60"/>
    </row>
    <row r="524" spans="1:4" x14ac:dyDescent="0.25">
      <c r="A524" s="62"/>
      <c r="B524" s="60"/>
      <c r="C524" s="61"/>
      <c r="D524" s="60"/>
    </row>
    <row r="525" spans="1:4" x14ac:dyDescent="0.25">
      <c r="A525" s="62"/>
      <c r="B525" s="60"/>
      <c r="C525" s="61"/>
      <c r="D525" s="60"/>
    </row>
    <row r="526" spans="1:4" x14ac:dyDescent="0.25">
      <c r="A526" s="62"/>
      <c r="B526" s="60"/>
      <c r="C526" s="61"/>
      <c r="D526" s="60"/>
    </row>
    <row r="527" spans="1:4" x14ac:dyDescent="0.25">
      <c r="A527" s="62"/>
      <c r="B527" s="60"/>
      <c r="C527" s="61"/>
      <c r="D527" s="60"/>
    </row>
    <row r="528" spans="1:4" x14ac:dyDescent="0.25">
      <c r="A528" s="62"/>
      <c r="B528" s="60"/>
      <c r="C528" s="61"/>
      <c r="D528" s="60"/>
    </row>
    <row r="529" spans="1:4" x14ac:dyDescent="0.25">
      <c r="A529" s="62"/>
      <c r="B529" s="60"/>
      <c r="C529" s="61"/>
      <c r="D529" s="60"/>
    </row>
    <row r="530" spans="1:4" x14ac:dyDescent="0.25">
      <c r="A530" s="62"/>
      <c r="B530" s="63"/>
      <c r="C530" s="63"/>
      <c r="D530" s="60"/>
    </row>
    <row r="531" spans="1:4" x14ac:dyDescent="0.25">
      <c r="A531" s="62"/>
      <c r="B531" s="60"/>
      <c r="C531" s="61"/>
      <c r="D531" s="60"/>
    </row>
    <row r="532" spans="1:4" x14ac:dyDescent="0.25">
      <c r="A532" s="62"/>
      <c r="B532" s="60"/>
      <c r="C532" s="61"/>
      <c r="D532" s="60"/>
    </row>
    <row r="533" spans="1:4" x14ac:dyDescent="0.25">
      <c r="A533" s="62"/>
      <c r="B533" s="60"/>
      <c r="C533" s="61"/>
      <c r="D533" s="60"/>
    </row>
    <row r="534" spans="1:4" x14ac:dyDescent="0.25">
      <c r="A534" s="62"/>
      <c r="B534" s="60"/>
      <c r="C534" s="61"/>
      <c r="D534" s="60"/>
    </row>
    <row r="535" spans="1:4" x14ac:dyDescent="0.25">
      <c r="A535" s="62"/>
      <c r="B535" s="60"/>
      <c r="C535" s="61"/>
      <c r="D535" s="60"/>
    </row>
    <row r="536" spans="1:4" x14ac:dyDescent="0.25">
      <c r="A536" s="62"/>
      <c r="B536" s="60"/>
      <c r="C536" s="61"/>
      <c r="D536" s="60"/>
    </row>
    <row r="537" spans="1:4" x14ac:dyDescent="0.25">
      <c r="A537" s="62"/>
      <c r="B537" s="60"/>
      <c r="C537" s="61"/>
      <c r="D537" s="60"/>
    </row>
    <row r="538" spans="1:4" x14ac:dyDescent="0.25">
      <c r="A538" s="62"/>
      <c r="B538" s="60"/>
      <c r="C538" s="61"/>
      <c r="D538" s="60"/>
    </row>
    <row r="539" spans="1:4" x14ac:dyDescent="0.25">
      <c r="A539" s="62"/>
      <c r="B539" s="60"/>
      <c r="C539" s="61"/>
      <c r="D539" s="60"/>
    </row>
    <row r="540" spans="1:4" x14ac:dyDescent="0.25">
      <c r="A540" s="62"/>
      <c r="B540" s="60"/>
      <c r="C540" s="61"/>
      <c r="D540" s="60"/>
    </row>
    <row r="541" spans="1:4" x14ac:dyDescent="0.25">
      <c r="A541" s="62"/>
      <c r="B541" s="60"/>
      <c r="C541" s="61"/>
      <c r="D541" s="60"/>
    </row>
    <row r="542" spans="1:4" x14ac:dyDescent="0.25">
      <c r="A542" s="62"/>
      <c r="B542" s="60"/>
      <c r="C542" s="61"/>
      <c r="D542" s="60"/>
    </row>
    <row r="543" spans="1:4" x14ac:dyDescent="0.25">
      <c r="A543" s="62"/>
      <c r="B543" s="60"/>
      <c r="C543" s="61"/>
      <c r="D543" s="60"/>
    </row>
    <row r="544" spans="1:4" x14ac:dyDescent="0.25">
      <c r="A544" s="62"/>
      <c r="B544" s="60"/>
      <c r="C544" s="61"/>
      <c r="D544" s="60"/>
    </row>
    <row r="545" spans="1:4" x14ac:dyDescent="0.25">
      <c r="A545" s="62"/>
      <c r="B545" s="60"/>
      <c r="C545" s="61"/>
      <c r="D545" s="60"/>
    </row>
    <row r="546" spans="1:4" x14ac:dyDescent="0.25">
      <c r="A546" s="62"/>
      <c r="B546" s="60"/>
      <c r="C546" s="61"/>
      <c r="D546" s="60"/>
    </row>
    <row r="547" spans="1:4" x14ac:dyDescent="0.25">
      <c r="A547" s="62"/>
      <c r="B547" s="60"/>
      <c r="C547" s="61"/>
      <c r="D547" s="60"/>
    </row>
    <row r="548" spans="1:4" x14ac:dyDescent="0.25">
      <c r="A548" s="62"/>
      <c r="B548" s="60"/>
      <c r="C548" s="61"/>
      <c r="D548" s="60"/>
    </row>
    <row r="549" spans="1:4" x14ac:dyDescent="0.25">
      <c r="A549" s="62"/>
      <c r="B549" s="60"/>
      <c r="C549" s="61"/>
      <c r="D549" s="60"/>
    </row>
    <row r="550" spans="1:4" x14ac:dyDescent="0.25">
      <c r="A550" s="62"/>
      <c r="B550" s="60"/>
      <c r="C550" s="61"/>
      <c r="D550" s="60"/>
    </row>
    <row r="551" spans="1:4" x14ac:dyDescent="0.25">
      <c r="A551" s="62"/>
      <c r="B551" s="63"/>
      <c r="C551" s="63"/>
      <c r="D551" s="60"/>
    </row>
    <row r="552" spans="1:4" x14ac:dyDescent="0.25">
      <c r="A552" s="62"/>
      <c r="B552" s="60"/>
      <c r="C552" s="61"/>
      <c r="D552" s="60"/>
    </row>
    <row r="553" spans="1:4" x14ac:dyDescent="0.25">
      <c r="A553" s="62"/>
      <c r="B553" s="60"/>
      <c r="C553" s="61"/>
      <c r="D553" s="60"/>
    </row>
    <row r="554" spans="1:4" x14ac:dyDescent="0.25">
      <c r="A554" s="62"/>
      <c r="B554" s="60"/>
      <c r="C554" s="61"/>
      <c r="D554" s="60"/>
    </row>
    <row r="555" spans="1:4" x14ac:dyDescent="0.25">
      <c r="A555" s="62"/>
      <c r="B555" s="60"/>
      <c r="C555" s="61"/>
      <c r="D555" s="60"/>
    </row>
    <row r="556" spans="1:4" x14ac:dyDescent="0.25">
      <c r="A556" s="62"/>
      <c r="B556" s="60"/>
      <c r="C556" s="61"/>
      <c r="D556" s="60"/>
    </row>
    <row r="557" spans="1:4" x14ac:dyDescent="0.25">
      <c r="A557" s="62"/>
      <c r="B557" s="60"/>
      <c r="C557" s="61"/>
      <c r="D557" s="60"/>
    </row>
    <row r="558" spans="1:4" x14ac:dyDescent="0.25">
      <c r="A558" s="62"/>
      <c r="B558" s="60"/>
      <c r="C558" s="61"/>
      <c r="D558" s="60"/>
    </row>
    <row r="559" spans="1:4" x14ac:dyDescent="0.25">
      <c r="A559" s="62"/>
      <c r="B559" s="60"/>
      <c r="C559" s="61"/>
      <c r="D559" s="60"/>
    </row>
    <row r="560" spans="1:4" x14ac:dyDescent="0.25">
      <c r="A560" s="62"/>
      <c r="B560" s="60"/>
      <c r="C560" s="61"/>
      <c r="D560" s="60"/>
    </row>
    <row r="561" spans="1:4" x14ac:dyDescent="0.25">
      <c r="A561" s="62"/>
      <c r="B561" s="60"/>
      <c r="C561" s="61"/>
      <c r="D561" s="60"/>
    </row>
    <row r="562" spans="1:4" x14ac:dyDescent="0.25">
      <c r="A562" s="62"/>
      <c r="B562" s="60"/>
      <c r="C562" s="61"/>
      <c r="D562" s="60"/>
    </row>
    <row r="563" spans="1:4" x14ac:dyDescent="0.25">
      <c r="A563" s="62"/>
      <c r="B563" s="60"/>
      <c r="C563" s="61"/>
      <c r="D563" s="60"/>
    </row>
    <row r="564" spans="1:4" x14ac:dyDescent="0.25">
      <c r="A564" s="62"/>
      <c r="B564" s="60"/>
      <c r="C564" s="61"/>
      <c r="D564" s="60"/>
    </row>
    <row r="565" spans="1:4" x14ac:dyDescent="0.25">
      <c r="A565" s="62"/>
      <c r="B565" s="60"/>
      <c r="C565" s="61"/>
      <c r="D565" s="60"/>
    </row>
    <row r="566" spans="1:4" x14ac:dyDescent="0.25">
      <c r="A566" s="62"/>
      <c r="B566" s="60"/>
      <c r="C566" s="61"/>
      <c r="D566" s="60"/>
    </row>
    <row r="567" spans="1:4" x14ac:dyDescent="0.25">
      <c r="A567" s="62"/>
      <c r="B567" s="60"/>
      <c r="C567" s="61"/>
      <c r="D567" s="60"/>
    </row>
    <row r="568" spans="1:4" x14ac:dyDescent="0.25">
      <c r="A568" s="62"/>
      <c r="B568" s="60"/>
      <c r="C568" s="61"/>
      <c r="D568" s="60"/>
    </row>
    <row r="569" spans="1:4" x14ac:dyDescent="0.25">
      <c r="A569" s="62"/>
      <c r="B569" s="60"/>
      <c r="C569" s="61"/>
      <c r="D569" s="60"/>
    </row>
    <row r="570" spans="1:4" x14ac:dyDescent="0.25">
      <c r="A570" s="62"/>
      <c r="B570" s="60"/>
      <c r="C570" s="61"/>
      <c r="D570" s="60"/>
    </row>
    <row r="571" spans="1:4" x14ac:dyDescent="0.25">
      <c r="A571" s="62"/>
      <c r="B571" s="60"/>
      <c r="C571" s="61"/>
      <c r="D571" s="60"/>
    </row>
    <row r="572" spans="1:4" x14ac:dyDescent="0.25">
      <c r="A572" s="62"/>
      <c r="B572" s="60"/>
      <c r="C572" s="61"/>
      <c r="D572" s="60"/>
    </row>
    <row r="573" spans="1:4" x14ac:dyDescent="0.25">
      <c r="A573" s="62"/>
      <c r="B573" s="63"/>
      <c r="C573" s="63"/>
      <c r="D573" s="60"/>
    </row>
    <row r="574" spans="1:4" x14ac:dyDescent="0.25">
      <c r="A574" s="62"/>
      <c r="B574" s="60"/>
      <c r="C574" s="61"/>
      <c r="D574" s="60"/>
    </row>
    <row r="575" spans="1:4" x14ac:dyDescent="0.25">
      <c r="A575" s="62"/>
      <c r="B575" s="60"/>
      <c r="C575" s="61"/>
      <c r="D575" s="60"/>
    </row>
    <row r="576" spans="1:4" x14ac:dyDescent="0.25">
      <c r="A576" s="62"/>
      <c r="B576" s="60"/>
      <c r="C576" s="61"/>
      <c r="D576" s="60"/>
    </row>
    <row r="577" spans="1:4" x14ac:dyDescent="0.25">
      <c r="A577" s="62"/>
      <c r="B577" s="60"/>
      <c r="C577" s="61"/>
      <c r="D577" s="60"/>
    </row>
    <row r="578" spans="1:4" x14ac:dyDescent="0.25">
      <c r="A578" s="62"/>
      <c r="B578" s="60"/>
      <c r="C578" s="61"/>
      <c r="D578" s="60"/>
    </row>
    <row r="579" spans="1:4" x14ac:dyDescent="0.25">
      <c r="A579" s="62"/>
      <c r="B579" s="60"/>
      <c r="C579" s="61"/>
      <c r="D579" s="60"/>
    </row>
    <row r="580" spans="1:4" x14ac:dyDescent="0.25">
      <c r="A580" s="62"/>
      <c r="B580" s="60"/>
      <c r="C580" s="61"/>
      <c r="D580" s="60"/>
    </row>
    <row r="581" spans="1:4" x14ac:dyDescent="0.25">
      <c r="A581" s="62"/>
      <c r="B581" s="60"/>
      <c r="C581" s="61"/>
      <c r="D581" s="60"/>
    </row>
    <row r="582" spans="1:4" x14ac:dyDescent="0.25">
      <c r="A582" s="62"/>
      <c r="B582" s="60"/>
      <c r="C582" s="61"/>
      <c r="D582" s="60"/>
    </row>
    <row r="583" spans="1:4" x14ac:dyDescent="0.25">
      <c r="A583" s="62"/>
      <c r="B583" s="60"/>
      <c r="C583" s="61"/>
      <c r="D583" s="60"/>
    </row>
    <row r="584" spans="1:4" x14ac:dyDescent="0.25">
      <c r="A584" s="62"/>
      <c r="B584" s="60"/>
      <c r="C584" s="61"/>
      <c r="D584" s="60"/>
    </row>
    <row r="585" spans="1:4" x14ac:dyDescent="0.25">
      <c r="A585" s="62"/>
      <c r="B585" s="60"/>
      <c r="C585" s="61"/>
      <c r="D585" s="60"/>
    </row>
    <row r="586" spans="1:4" x14ac:dyDescent="0.25">
      <c r="A586" s="62"/>
      <c r="B586" s="60"/>
      <c r="C586" s="61"/>
      <c r="D586" s="60"/>
    </row>
    <row r="587" spans="1:4" x14ac:dyDescent="0.25">
      <c r="A587" s="62"/>
      <c r="B587" s="60"/>
      <c r="C587" s="61"/>
      <c r="D587" s="60"/>
    </row>
    <row r="588" spans="1:4" x14ac:dyDescent="0.25">
      <c r="A588" s="62"/>
      <c r="B588" s="60"/>
      <c r="C588" s="61"/>
      <c r="D588" s="60"/>
    </row>
    <row r="589" spans="1:4" x14ac:dyDescent="0.25">
      <c r="A589" s="62"/>
      <c r="B589" s="60"/>
      <c r="C589" s="61"/>
      <c r="D589" s="60"/>
    </row>
    <row r="590" spans="1:4" x14ac:dyDescent="0.25">
      <c r="A590" s="62"/>
      <c r="B590" s="60"/>
      <c r="C590" s="61"/>
      <c r="D590" s="60"/>
    </row>
    <row r="591" spans="1:4" x14ac:dyDescent="0.25">
      <c r="A591" s="62"/>
      <c r="B591" s="60"/>
      <c r="C591" s="61"/>
      <c r="D591" s="60"/>
    </row>
    <row r="592" spans="1:4" x14ac:dyDescent="0.25">
      <c r="A592" s="62"/>
      <c r="B592" s="60"/>
      <c r="C592" s="61"/>
      <c r="D592" s="60"/>
    </row>
    <row r="593" spans="1:4" x14ac:dyDescent="0.25">
      <c r="A593" s="62"/>
      <c r="B593" s="63"/>
      <c r="C593" s="63"/>
      <c r="D593" s="60"/>
    </row>
    <row r="594" spans="1:4" x14ac:dyDescent="0.25">
      <c r="A594" s="62"/>
      <c r="B594" s="60"/>
      <c r="C594" s="61"/>
      <c r="D594" s="63"/>
    </row>
    <row r="595" spans="1:4" x14ac:dyDescent="0.25">
      <c r="A595" s="62"/>
      <c r="B595" s="60"/>
      <c r="C595" s="61"/>
      <c r="D595" s="60"/>
    </row>
    <row r="596" spans="1:4" x14ac:dyDescent="0.25">
      <c r="A596" s="62"/>
      <c r="B596" s="60"/>
      <c r="C596" s="61"/>
      <c r="D596" s="60"/>
    </row>
    <row r="597" spans="1:4" x14ac:dyDescent="0.25">
      <c r="A597" s="62"/>
      <c r="B597" s="60"/>
      <c r="C597" s="61"/>
      <c r="D597" s="60"/>
    </row>
    <row r="598" spans="1:4" x14ac:dyDescent="0.25">
      <c r="A598" s="62"/>
      <c r="B598" s="60"/>
      <c r="C598" s="61"/>
      <c r="D598" s="60"/>
    </row>
    <row r="599" spans="1:4" x14ac:dyDescent="0.25">
      <c r="A599" s="62"/>
      <c r="B599" s="60"/>
      <c r="C599" s="61"/>
      <c r="D599" s="60"/>
    </row>
    <row r="600" spans="1:4" x14ac:dyDescent="0.25">
      <c r="A600" s="62"/>
      <c r="B600" s="60"/>
      <c r="C600" s="61"/>
      <c r="D600" s="60"/>
    </row>
    <row r="601" spans="1:4" x14ac:dyDescent="0.25">
      <c r="A601" s="62"/>
      <c r="B601" s="60"/>
      <c r="C601" s="61"/>
      <c r="D601" s="60"/>
    </row>
    <row r="602" spans="1:4" x14ac:dyDescent="0.25">
      <c r="A602" s="62"/>
      <c r="B602" s="60"/>
      <c r="C602" s="61"/>
      <c r="D602" s="60"/>
    </row>
    <row r="603" spans="1:4" x14ac:dyDescent="0.25">
      <c r="A603" s="62"/>
      <c r="B603" s="60"/>
      <c r="C603" s="61"/>
      <c r="D603" s="60"/>
    </row>
    <row r="604" spans="1:4" x14ac:dyDescent="0.25">
      <c r="A604" s="62"/>
      <c r="B604" s="60"/>
      <c r="C604" s="61"/>
      <c r="D604" s="60"/>
    </row>
    <row r="605" spans="1:4" x14ac:dyDescent="0.25">
      <c r="A605" s="62"/>
      <c r="B605" s="60"/>
      <c r="C605" s="61"/>
      <c r="D605" s="60"/>
    </row>
    <row r="606" spans="1:4" x14ac:dyDescent="0.25">
      <c r="A606" s="62"/>
      <c r="B606" s="60"/>
      <c r="C606" s="61"/>
      <c r="D606" s="60"/>
    </row>
    <row r="607" spans="1:4" x14ac:dyDescent="0.25">
      <c r="A607" s="62"/>
      <c r="B607" s="63"/>
      <c r="C607" s="63"/>
      <c r="D607" s="60"/>
    </row>
    <row r="608" spans="1:4" x14ac:dyDescent="0.25">
      <c r="A608" s="62"/>
      <c r="B608" s="60"/>
      <c r="C608" s="61"/>
      <c r="D608" s="60"/>
    </row>
    <row r="609" spans="1:4" x14ac:dyDescent="0.25">
      <c r="A609" s="62"/>
      <c r="B609" s="60"/>
      <c r="C609" s="61"/>
      <c r="D609" s="60"/>
    </row>
    <row r="610" spans="1:4" x14ac:dyDescent="0.25">
      <c r="A610" s="62"/>
      <c r="B610" s="60"/>
      <c r="C610" s="61"/>
      <c r="D610" s="60"/>
    </row>
    <row r="611" spans="1:4" x14ac:dyDescent="0.25">
      <c r="A611" s="62"/>
      <c r="B611" s="60"/>
      <c r="C611" s="61"/>
      <c r="D611" s="60"/>
    </row>
    <row r="612" spans="1:4" x14ac:dyDescent="0.25">
      <c r="A612" s="62"/>
      <c r="B612" s="60"/>
      <c r="C612" s="61"/>
      <c r="D612" s="60"/>
    </row>
    <row r="613" spans="1:4" x14ac:dyDescent="0.25">
      <c r="A613" s="62"/>
      <c r="B613" s="60"/>
      <c r="C613" s="61"/>
      <c r="D613" s="60"/>
    </row>
    <row r="614" spans="1:4" x14ac:dyDescent="0.25">
      <c r="A614" s="62"/>
      <c r="B614" s="60"/>
      <c r="C614" s="61"/>
      <c r="D614" s="60"/>
    </row>
    <row r="615" spans="1:4" x14ac:dyDescent="0.25">
      <c r="A615" s="62"/>
      <c r="B615" s="60"/>
      <c r="C615" s="61"/>
      <c r="D615" s="60"/>
    </row>
    <row r="616" spans="1:4" x14ac:dyDescent="0.25">
      <c r="A616" s="62"/>
      <c r="B616" s="60"/>
      <c r="C616" s="61"/>
      <c r="D616" s="60"/>
    </row>
    <row r="617" spans="1:4" x14ac:dyDescent="0.25">
      <c r="A617" s="62"/>
      <c r="B617" s="63"/>
      <c r="C617" s="63"/>
      <c r="D617" s="60"/>
    </row>
    <row r="618" spans="1:4" x14ac:dyDescent="0.25">
      <c r="A618" s="62"/>
      <c r="B618" s="60"/>
      <c r="C618" s="61"/>
      <c r="D618" s="60"/>
    </row>
    <row r="619" spans="1:4" x14ac:dyDescent="0.25">
      <c r="A619" s="62"/>
      <c r="B619" s="60"/>
      <c r="C619" s="61"/>
      <c r="D619" s="60"/>
    </row>
    <row r="620" spans="1:4" x14ac:dyDescent="0.25">
      <c r="A620" s="62"/>
      <c r="B620" s="60"/>
      <c r="C620" s="61"/>
      <c r="D620" s="60"/>
    </row>
    <row r="621" spans="1:4" x14ac:dyDescent="0.25">
      <c r="A621" s="62"/>
      <c r="B621" s="63"/>
      <c r="C621" s="63"/>
      <c r="D621" s="60"/>
    </row>
    <row r="622" spans="1:4" x14ac:dyDescent="0.25">
      <c r="A622" s="62"/>
      <c r="B622" s="60"/>
      <c r="C622" s="61"/>
      <c r="D622" s="60"/>
    </row>
    <row r="623" spans="1:4" x14ac:dyDescent="0.25">
      <c r="A623" s="62"/>
      <c r="B623" s="60"/>
      <c r="C623" s="61"/>
      <c r="D623" s="60"/>
    </row>
    <row r="624" spans="1:4" x14ac:dyDescent="0.25">
      <c r="A624" s="62"/>
      <c r="B624" s="60"/>
      <c r="C624" s="61"/>
      <c r="D624" s="60"/>
    </row>
    <row r="625" spans="1:4" x14ac:dyDescent="0.25">
      <c r="A625" s="62"/>
      <c r="B625" s="60"/>
      <c r="C625" s="61"/>
      <c r="D625" s="60"/>
    </row>
    <row r="626" spans="1:4" x14ac:dyDescent="0.25">
      <c r="A626" s="62"/>
      <c r="B626" s="60"/>
      <c r="C626" s="61"/>
      <c r="D626" s="60"/>
    </row>
    <row r="627" spans="1:4" x14ac:dyDescent="0.25">
      <c r="A627" s="62"/>
      <c r="B627" s="60"/>
      <c r="C627" s="61"/>
      <c r="D627" s="60"/>
    </row>
    <row r="628" spans="1:4" x14ac:dyDescent="0.25">
      <c r="A628" s="62"/>
      <c r="B628" s="60"/>
      <c r="C628" s="61"/>
      <c r="D628" s="60"/>
    </row>
    <row r="629" spans="1:4" x14ac:dyDescent="0.25">
      <c r="A629" s="62"/>
      <c r="B629" s="60"/>
      <c r="C629" s="61"/>
      <c r="D629" s="60"/>
    </row>
    <row r="630" spans="1:4" x14ac:dyDescent="0.25">
      <c r="A630" s="62"/>
      <c r="B630" s="63"/>
      <c r="C630" s="63"/>
      <c r="D630" s="60"/>
    </row>
    <row r="631" spans="1:4" x14ac:dyDescent="0.25">
      <c r="A631" s="62"/>
      <c r="B631" s="60"/>
      <c r="C631" s="61"/>
      <c r="D631" s="60"/>
    </row>
    <row r="632" spans="1:4" x14ac:dyDescent="0.25">
      <c r="A632" s="62"/>
      <c r="B632" s="60"/>
      <c r="C632" s="61"/>
      <c r="D632" s="60"/>
    </row>
    <row r="633" spans="1:4" x14ac:dyDescent="0.25">
      <c r="A633" s="62"/>
      <c r="B633" s="60"/>
      <c r="C633" s="61"/>
      <c r="D633" s="60"/>
    </row>
    <row r="634" spans="1:4" x14ac:dyDescent="0.25">
      <c r="A634" s="62"/>
      <c r="B634" s="63"/>
      <c r="C634" s="63"/>
      <c r="D634" s="60"/>
    </row>
    <row r="635" spans="1:4" x14ac:dyDescent="0.25">
      <c r="A635" s="62"/>
      <c r="B635" s="60"/>
      <c r="C635" s="61"/>
      <c r="D635" s="60"/>
    </row>
    <row r="636" spans="1:4" x14ac:dyDescent="0.25">
      <c r="A636" s="62"/>
      <c r="B636" s="60"/>
      <c r="C636" s="61"/>
      <c r="D636" s="60"/>
    </row>
    <row r="637" spans="1:4" x14ac:dyDescent="0.25">
      <c r="A637" s="62"/>
      <c r="B637" s="60"/>
      <c r="C637" s="61"/>
      <c r="D637" s="60"/>
    </row>
    <row r="638" spans="1:4" x14ac:dyDescent="0.25">
      <c r="A638" s="62"/>
      <c r="B638" s="60"/>
      <c r="C638" s="61"/>
      <c r="D638" s="60"/>
    </row>
    <row r="639" spans="1:4" x14ac:dyDescent="0.25">
      <c r="A639" s="62"/>
      <c r="B639" s="60"/>
      <c r="C639" s="61"/>
      <c r="D639" s="60"/>
    </row>
    <row r="640" spans="1:4" x14ac:dyDescent="0.25">
      <c r="A640" s="62"/>
      <c r="B640" s="60"/>
      <c r="C640" s="61"/>
      <c r="D640" s="60"/>
    </row>
    <row r="641" spans="1:4" x14ac:dyDescent="0.25">
      <c r="A641" s="62"/>
      <c r="B641" s="60"/>
      <c r="C641" s="61"/>
      <c r="D641" s="60"/>
    </row>
    <row r="642" spans="1:4" x14ac:dyDescent="0.25">
      <c r="A642" s="62"/>
      <c r="B642" s="60"/>
      <c r="C642" s="61"/>
      <c r="D642" s="60"/>
    </row>
    <row r="643" spans="1:4" x14ac:dyDescent="0.25">
      <c r="A643" s="62"/>
      <c r="B643" s="60"/>
      <c r="C643" s="61"/>
      <c r="D643" s="60"/>
    </row>
    <row r="644" spans="1:4" x14ac:dyDescent="0.25">
      <c r="A644" s="62"/>
      <c r="B644" s="60"/>
      <c r="C644" s="61"/>
      <c r="D644" s="60"/>
    </row>
    <row r="645" spans="1:4" x14ac:dyDescent="0.25">
      <c r="A645" s="62"/>
      <c r="B645" s="63"/>
      <c r="C645" s="63"/>
      <c r="D645" s="60"/>
    </row>
    <row r="646" spans="1:4" x14ac:dyDescent="0.25">
      <c r="A646" s="62"/>
      <c r="B646" s="60"/>
      <c r="C646" s="61"/>
      <c r="D646" s="60"/>
    </row>
    <row r="647" spans="1:4" x14ac:dyDescent="0.25">
      <c r="A647" s="62"/>
      <c r="B647" s="60"/>
      <c r="C647" s="61"/>
      <c r="D647" s="60"/>
    </row>
    <row r="648" spans="1:4" x14ac:dyDescent="0.25">
      <c r="A648" s="62"/>
      <c r="B648" s="60"/>
      <c r="C648" s="61"/>
      <c r="D648" s="60"/>
    </row>
    <row r="649" spans="1:4" x14ac:dyDescent="0.25">
      <c r="A649" s="62"/>
      <c r="B649" s="60"/>
      <c r="C649" s="61"/>
      <c r="D649" s="60"/>
    </row>
    <row r="650" spans="1:4" x14ac:dyDescent="0.25">
      <c r="A650" s="62"/>
      <c r="B650" s="60"/>
      <c r="C650" s="61"/>
      <c r="D650" s="63"/>
    </row>
    <row r="651" spans="1:4" x14ac:dyDescent="0.25">
      <c r="A651" s="62"/>
      <c r="B651" s="60"/>
      <c r="C651" s="61"/>
      <c r="D651" s="60"/>
    </row>
    <row r="652" spans="1:4" x14ac:dyDescent="0.25">
      <c r="A652" s="62"/>
      <c r="B652" s="60"/>
      <c r="C652" s="61"/>
      <c r="D652" s="60"/>
    </row>
    <row r="653" spans="1:4" x14ac:dyDescent="0.25">
      <c r="A653" s="62"/>
      <c r="B653" s="60"/>
      <c r="C653" s="61"/>
      <c r="D653" s="60"/>
    </row>
    <row r="654" spans="1:4" x14ac:dyDescent="0.25">
      <c r="A654" s="62"/>
      <c r="B654" s="60"/>
      <c r="C654" s="61"/>
      <c r="D654" s="60"/>
    </row>
    <row r="655" spans="1:4" x14ac:dyDescent="0.25">
      <c r="A655" s="62"/>
      <c r="B655" s="60"/>
      <c r="C655" s="61"/>
      <c r="D655" s="60"/>
    </row>
    <row r="656" spans="1:4" x14ac:dyDescent="0.25">
      <c r="A656" s="62"/>
      <c r="B656" s="60"/>
      <c r="C656" s="61"/>
      <c r="D656" s="60"/>
    </row>
    <row r="657" spans="1:4" x14ac:dyDescent="0.25">
      <c r="A657" s="62"/>
      <c r="B657" s="60"/>
      <c r="C657" s="61"/>
      <c r="D657" s="60"/>
    </row>
    <row r="658" spans="1:4" x14ac:dyDescent="0.25">
      <c r="A658" s="62"/>
      <c r="B658" s="60"/>
      <c r="C658" s="61"/>
      <c r="D658" s="60"/>
    </row>
    <row r="659" spans="1:4" x14ac:dyDescent="0.25">
      <c r="A659" s="62"/>
      <c r="B659" s="60"/>
      <c r="C659" s="61"/>
      <c r="D659" s="60"/>
    </row>
    <row r="660" spans="1:4" x14ac:dyDescent="0.25">
      <c r="A660" s="62"/>
      <c r="B660" s="60"/>
      <c r="C660" s="61"/>
      <c r="D660" s="60"/>
    </row>
    <row r="661" spans="1:4" x14ac:dyDescent="0.25">
      <c r="A661" s="62"/>
      <c r="B661" s="60"/>
      <c r="C661" s="61"/>
      <c r="D661" s="60"/>
    </row>
    <row r="662" spans="1:4" x14ac:dyDescent="0.25">
      <c r="A662" s="62"/>
      <c r="B662" s="60"/>
      <c r="C662" s="61"/>
      <c r="D662" s="60"/>
    </row>
    <row r="663" spans="1:4" x14ac:dyDescent="0.25">
      <c r="A663" s="62"/>
      <c r="B663" s="60"/>
      <c r="C663" s="61"/>
      <c r="D663" s="60"/>
    </row>
    <row r="664" spans="1:4" x14ac:dyDescent="0.25">
      <c r="A664" s="62"/>
      <c r="B664" s="60"/>
      <c r="C664" s="61"/>
      <c r="D664" s="60"/>
    </row>
    <row r="665" spans="1:4" x14ac:dyDescent="0.25">
      <c r="A665" s="62"/>
      <c r="B665" s="60"/>
      <c r="C665" s="61"/>
      <c r="D665" s="60"/>
    </row>
    <row r="666" spans="1:4" x14ac:dyDescent="0.25">
      <c r="A666" s="62"/>
      <c r="B666" s="60"/>
      <c r="C666" s="61"/>
      <c r="D666" s="60"/>
    </row>
    <row r="667" spans="1:4" x14ac:dyDescent="0.25">
      <c r="A667" s="62"/>
      <c r="B667" s="60"/>
      <c r="C667" s="61"/>
      <c r="D667" s="60"/>
    </row>
    <row r="668" spans="1:4" x14ac:dyDescent="0.25">
      <c r="A668" s="62"/>
      <c r="B668" s="60"/>
      <c r="C668" s="61"/>
      <c r="D668" s="60"/>
    </row>
    <row r="669" spans="1:4" x14ac:dyDescent="0.25">
      <c r="A669" s="62"/>
      <c r="B669" s="60"/>
      <c r="C669" s="61"/>
      <c r="D669" s="60"/>
    </row>
    <row r="670" spans="1:4" x14ac:dyDescent="0.25">
      <c r="A670" s="62"/>
      <c r="B670" s="60"/>
      <c r="C670" s="61"/>
      <c r="D670" s="60"/>
    </row>
    <row r="671" spans="1:4" x14ac:dyDescent="0.25">
      <c r="A671" s="62"/>
      <c r="B671" s="60"/>
      <c r="C671" s="61"/>
      <c r="D671" s="60"/>
    </row>
    <row r="672" spans="1:4" x14ac:dyDescent="0.25">
      <c r="A672" s="62"/>
      <c r="B672" s="60"/>
      <c r="C672" s="61"/>
      <c r="D672" s="60"/>
    </row>
    <row r="673" spans="1:4" x14ac:dyDescent="0.25">
      <c r="A673" s="62"/>
      <c r="B673" s="60"/>
      <c r="C673" s="61"/>
      <c r="D673" s="60"/>
    </row>
    <row r="674" spans="1:4" x14ac:dyDescent="0.25">
      <c r="A674" s="62"/>
      <c r="B674" s="60"/>
      <c r="C674" s="61"/>
      <c r="D674" s="60"/>
    </row>
    <row r="675" spans="1:4" x14ac:dyDescent="0.25">
      <c r="A675" s="62"/>
      <c r="B675" s="60"/>
      <c r="C675" s="61"/>
      <c r="D675" s="60"/>
    </row>
    <row r="676" spans="1:4" x14ac:dyDescent="0.25">
      <c r="A676" s="62"/>
      <c r="B676" s="63"/>
      <c r="C676" s="63"/>
      <c r="D676" s="60"/>
    </row>
    <row r="677" spans="1:4" x14ac:dyDescent="0.25">
      <c r="A677" s="62"/>
      <c r="B677" s="60"/>
      <c r="C677" s="61"/>
      <c r="D677" s="60"/>
    </row>
    <row r="678" spans="1:4" x14ac:dyDescent="0.25">
      <c r="A678" s="62"/>
      <c r="B678" s="60"/>
      <c r="C678" s="61"/>
      <c r="D678" s="60"/>
    </row>
    <row r="679" spans="1:4" x14ac:dyDescent="0.25">
      <c r="A679" s="62"/>
      <c r="B679" s="60"/>
      <c r="C679" s="61"/>
      <c r="D679" s="60"/>
    </row>
    <row r="680" spans="1:4" x14ac:dyDescent="0.25">
      <c r="A680" s="62"/>
      <c r="B680" s="63"/>
      <c r="C680" s="63"/>
      <c r="D680" s="60"/>
    </row>
    <row r="681" spans="1:4" x14ac:dyDescent="0.25">
      <c r="A681" s="62"/>
      <c r="B681" s="60"/>
      <c r="C681" s="63"/>
      <c r="D681" s="63"/>
    </row>
    <row r="682" spans="1:4" x14ac:dyDescent="0.25">
      <c r="A682" s="62"/>
      <c r="B682" s="60"/>
      <c r="C682" s="61"/>
      <c r="D682" s="60"/>
    </row>
    <row r="683" spans="1:4" x14ac:dyDescent="0.25">
      <c r="A683" s="62"/>
      <c r="B683" s="60"/>
      <c r="C683" s="61"/>
      <c r="D683" s="60"/>
    </row>
    <row r="684" spans="1:4" x14ac:dyDescent="0.25">
      <c r="A684" s="62"/>
      <c r="B684" s="60"/>
      <c r="C684" s="61"/>
      <c r="D684" s="60"/>
    </row>
    <row r="685" spans="1:4" x14ac:dyDescent="0.25">
      <c r="A685" s="62"/>
      <c r="B685" s="60"/>
      <c r="C685" s="61"/>
      <c r="D685" s="60"/>
    </row>
    <row r="686" spans="1:4" x14ac:dyDescent="0.25">
      <c r="A686" s="62"/>
      <c r="B686" s="60"/>
      <c r="C686" s="61"/>
      <c r="D686" s="60"/>
    </row>
    <row r="687" spans="1:4" x14ac:dyDescent="0.25">
      <c r="A687" s="62"/>
      <c r="B687" s="60"/>
      <c r="C687" s="61"/>
      <c r="D687" s="60"/>
    </row>
    <row r="688" spans="1:4" x14ac:dyDescent="0.25">
      <c r="A688" s="62"/>
      <c r="B688" s="60"/>
      <c r="C688" s="61"/>
      <c r="D688" s="60"/>
    </row>
    <row r="689" spans="1:4" x14ac:dyDescent="0.25">
      <c r="A689" s="62"/>
      <c r="B689" s="60"/>
      <c r="C689" s="61"/>
      <c r="D689" s="60"/>
    </row>
    <row r="690" spans="1:4" x14ac:dyDescent="0.25">
      <c r="A690" s="62"/>
      <c r="B690" s="60"/>
      <c r="C690" s="61"/>
      <c r="D690" s="60"/>
    </row>
    <row r="691" spans="1:4" x14ac:dyDescent="0.25">
      <c r="A691" s="62"/>
      <c r="B691" s="60"/>
      <c r="C691" s="61"/>
      <c r="D691" s="60"/>
    </row>
    <row r="692" spans="1:4" x14ac:dyDescent="0.25">
      <c r="A692" s="62"/>
      <c r="B692" s="60"/>
      <c r="C692" s="61"/>
      <c r="D692" s="60"/>
    </row>
    <row r="693" spans="1:4" x14ac:dyDescent="0.25">
      <c r="A693" s="62"/>
      <c r="B693" s="60"/>
      <c r="C693" s="61"/>
      <c r="D693" s="60"/>
    </row>
    <row r="694" spans="1:4" x14ac:dyDescent="0.25">
      <c r="A694" s="62"/>
      <c r="B694" s="60"/>
      <c r="C694" s="61"/>
      <c r="D694" s="60"/>
    </row>
    <row r="695" spans="1:4" x14ac:dyDescent="0.25">
      <c r="A695" s="62"/>
      <c r="B695" s="60"/>
      <c r="C695" s="61"/>
      <c r="D695" s="60"/>
    </row>
    <row r="696" spans="1:4" x14ac:dyDescent="0.25">
      <c r="A696" s="62"/>
      <c r="B696" s="60"/>
      <c r="C696" s="61"/>
      <c r="D696" s="60"/>
    </row>
    <row r="697" spans="1:4" x14ac:dyDescent="0.25">
      <c r="A697" s="62"/>
      <c r="B697" s="60"/>
      <c r="C697" s="61"/>
      <c r="D697" s="60"/>
    </row>
    <row r="698" spans="1:4" x14ac:dyDescent="0.25">
      <c r="A698" s="62"/>
      <c r="B698" s="60"/>
      <c r="C698" s="61"/>
      <c r="D698" s="60"/>
    </row>
    <row r="699" spans="1:4" x14ac:dyDescent="0.25">
      <c r="A699" s="62"/>
      <c r="B699" s="60"/>
      <c r="C699" s="61"/>
      <c r="D699" s="60"/>
    </row>
    <row r="700" spans="1:4" x14ac:dyDescent="0.25">
      <c r="A700" s="62"/>
      <c r="B700" s="60"/>
      <c r="C700" s="61"/>
      <c r="D700" s="60"/>
    </row>
    <row r="701" spans="1:4" x14ac:dyDescent="0.25">
      <c r="A701" s="62"/>
      <c r="B701" s="63"/>
      <c r="C701" s="63"/>
      <c r="D701" s="60"/>
    </row>
    <row r="702" spans="1:4" x14ac:dyDescent="0.25">
      <c r="A702" s="62"/>
      <c r="B702" s="60"/>
      <c r="C702" s="61"/>
      <c r="D702" s="60"/>
    </row>
    <row r="703" spans="1:4" x14ac:dyDescent="0.25">
      <c r="A703" s="62"/>
      <c r="B703" s="60"/>
      <c r="C703" s="61"/>
      <c r="D703" s="60"/>
    </row>
    <row r="704" spans="1:4" x14ac:dyDescent="0.25">
      <c r="A704" s="62"/>
      <c r="B704" s="60"/>
      <c r="C704" s="61"/>
      <c r="D704" s="60"/>
    </row>
    <row r="705" spans="1:4" x14ac:dyDescent="0.25">
      <c r="A705" s="62"/>
      <c r="B705" s="60"/>
      <c r="C705" s="61"/>
      <c r="D705" s="60"/>
    </row>
    <row r="706" spans="1:4" x14ac:dyDescent="0.25">
      <c r="A706" s="62"/>
      <c r="B706" s="60"/>
      <c r="C706" s="61"/>
      <c r="D706" s="60"/>
    </row>
    <row r="707" spans="1:4" x14ac:dyDescent="0.25">
      <c r="A707" s="62"/>
      <c r="B707" s="60"/>
      <c r="C707" s="61"/>
      <c r="D707" s="60"/>
    </row>
    <row r="708" spans="1:4" x14ac:dyDescent="0.25">
      <c r="A708" s="62"/>
      <c r="B708" s="60"/>
      <c r="C708" s="61"/>
      <c r="D708" s="60"/>
    </row>
    <row r="709" spans="1:4" x14ac:dyDescent="0.25">
      <c r="A709" s="62"/>
      <c r="B709" s="60"/>
      <c r="C709" s="61"/>
      <c r="D709" s="60"/>
    </row>
    <row r="710" spans="1:4" x14ac:dyDescent="0.25">
      <c r="A710" s="62"/>
      <c r="B710" s="60"/>
      <c r="C710" s="61"/>
      <c r="D710" s="60"/>
    </row>
    <row r="711" spans="1:4" x14ac:dyDescent="0.25">
      <c r="A711" s="62"/>
      <c r="B711" s="60"/>
      <c r="C711" s="61"/>
      <c r="D711" s="60"/>
    </row>
    <row r="712" spans="1:4" x14ac:dyDescent="0.25">
      <c r="A712" s="62"/>
      <c r="B712" s="60"/>
      <c r="C712" s="61"/>
      <c r="D712" s="60"/>
    </row>
    <row r="713" spans="1:4" x14ac:dyDescent="0.25">
      <c r="A713" s="62"/>
      <c r="B713" s="60"/>
      <c r="C713" s="61"/>
      <c r="D713" s="60"/>
    </row>
    <row r="714" spans="1:4" x14ac:dyDescent="0.25">
      <c r="A714" s="62"/>
      <c r="B714" s="60"/>
      <c r="C714" s="61"/>
      <c r="D714" s="60"/>
    </row>
    <row r="715" spans="1:4" x14ac:dyDescent="0.25">
      <c r="A715" s="62"/>
      <c r="B715" s="60"/>
      <c r="C715" s="61"/>
      <c r="D715" s="60"/>
    </row>
    <row r="716" spans="1:4" x14ac:dyDescent="0.25">
      <c r="A716" s="62"/>
      <c r="B716" s="60"/>
      <c r="C716" s="61"/>
      <c r="D716" s="60"/>
    </row>
    <row r="717" spans="1:4" x14ac:dyDescent="0.25">
      <c r="A717" s="62"/>
      <c r="B717" s="60"/>
      <c r="C717" s="61"/>
      <c r="D717" s="60"/>
    </row>
    <row r="718" spans="1:4" x14ac:dyDescent="0.25">
      <c r="A718" s="62"/>
      <c r="B718" s="60"/>
      <c r="C718" s="61"/>
      <c r="D718" s="60"/>
    </row>
    <row r="719" spans="1:4" x14ac:dyDescent="0.25">
      <c r="A719" s="62"/>
      <c r="B719" s="60"/>
      <c r="C719" s="61"/>
      <c r="D719" s="60"/>
    </row>
    <row r="720" spans="1:4" x14ac:dyDescent="0.25">
      <c r="A720" s="62"/>
      <c r="B720" s="60"/>
      <c r="C720" s="61"/>
      <c r="D720" s="60"/>
    </row>
    <row r="721" spans="1:4" x14ac:dyDescent="0.25">
      <c r="A721" s="62"/>
      <c r="B721" s="63"/>
      <c r="C721" s="63"/>
      <c r="D721" s="60"/>
    </row>
    <row r="722" spans="1:4" x14ac:dyDescent="0.25">
      <c r="A722" s="62"/>
      <c r="B722" s="60"/>
      <c r="C722" s="61"/>
      <c r="D722" s="60"/>
    </row>
    <row r="723" spans="1:4" x14ac:dyDescent="0.25">
      <c r="A723" s="62"/>
      <c r="B723" s="60"/>
      <c r="C723" s="61"/>
      <c r="D723" s="60"/>
    </row>
    <row r="724" spans="1:4" x14ac:dyDescent="0.25">
      <c r="A724" s="62"/>
      <c r="B724" s="60"/>
      <c r="C724" s="61"/>
      <c r="D724" s="60"/>
    </row>
    <row r="725" spans="1:4" x14ac:dyDescent="0.25">
      <c r="A725" s="62"/>
      <c r="B725" s="60"/>
      <c r="C725" s="61"/>
      <c r="D725" s="60"/>
    </row>
    <row r="726" spans="1:4" x14ac:dyDescent="0.25">
      <c r="A726" s="62"/>
      <c r="B726" s="60"/>
      <c r="C726" s="61"/>
      <c r="D726" s="60"/>
    </row>
    <row r="727" spans="1:4" x14ac:dyDescent="0.25">
      <c r="A727" s="62"/>
      <c r="B727" s="60"/>
      <c r="C727" s="61"/>
      <c r="D727" s="60"/>
    </row>
    <row r="728" spans="1:4" x14ac:dyDescent="0.25">
      <c r="A728" s="62"/>
      <c r="B728" s="60"/>
      <c r="C728" s="61"/>
      <c r="D728" s="60"/>
    </row>
    <row r="729" spans="1:4" x14ac:dyDescent="0.25">
      <c r="A729" s="62"/>
      <c r="B729" s="60"/>
      <c r="C729" s="61"/>
      <c r="D729" s="60"/>
    </row>
    <row r="730" spans="1:4" x14ac:dyDescent="0.25">
      <c r="A730" s="62"/>
      <c r="B730" s="63"/>
      <c r="C730" s="63"/>
      <c r="D730" s="60"/>
    </row>
    <row r="731" spans="1:4" x14ac:dyDescent="0.25">
      <c r="A731" s="62"/>
      <c r="B731" s="60"/>
      <c r="C731" s="61"/>
      <c r="D731" s="60"/>
    </row>
    <row r="732" spans="1:4" x14ac:dyDescent="0.25">
      <c r="A732" s="62"/>
      <c r="B732" s="60"/>
      <c r="C732" s="61"/>
      <c r="D732" s="60"/>
    </row>
    <row r="733" spans="1:4" x14ac:dyDescent="0.25">
      <c r="A733" s="62"/>
      <c r="B733" s="60"/>
      <c r="C733" s="61"/>
      <c r="D733" s="60"/>
    </row>
    <row r="734" spans="1:4" x14ac:dyDescent="0.25">
      <c r="A734" s="62"/>
      <c r="B734" s="60"/>
      <c r="C734" s="61"/>
      <c r="D734" s="60"/>
    </row>
    <row r="735" spans="1:4" x14ac:dyDescent="0.25">
      <c r="A735" s="62"/>
      <c r="B735" s="60"/>
      <c r="C735" s="61"/>
      <c r="D735" s="60"/>
    </row>
    <row r="736" spans="1:4" x14ac:dyDescent="0.25">
      <c r="A736" s="62"/>
      <c r="B736" s="60"/>
      <c r="C736" s="61"/>
      <c r="D736" s="60"/>
    </row>
    <row r="737" spans="1:4" x14ac:dyDescent="0.25">
      <c r="A737" s="62"/>
      <c r="B737" s="60"/>
      <c r="C737" s="61"/>
      <c r="D737" s="60"/>
    </row>
    <row r="738" spans="1:4" x14ac:dyDescent="0.25">
      <c r="A738" s="62"/>
      <c r="B738" s="60"/>
      <c r="C738" s="61"/>
      <c r="D738" s="60"/>
    </row>
    <row r="739" spans="1:4" x14ac:dyDescent="0.25">
      <c r="A739" s="62"/>
      <c r="B739" s="60"/>
      <c r="C739" s="61"/>
      <c r="D739" s="60"/>
    </row>
    <row r="740" spans="1:4" x14ac:dyDescent="0.25">
      <c r="A740" s="62"/>
      <c r="B740" s="60"/>
      <c r="C740" s="61"/>
      <c r="D740" s="60"/>
    </row>
    <row r="741" spans="1:4" x14ac:dyDescent="0.25">
      <c r="A741" s="62"/>
      <c r="B741" s="60"/>
      <c r="C741" s="61"/>
      <c r="D741" s="60"/>
    </row>
    <row r="742" spans="1:4" x14ac:dyDescent="0.25">
      <c r="A742" s="62"/>
      <c r="B742" s="60"/>
      <c r="C742" s="61"/>
      <c r="D742" s="60"/>
    </row>
    <row r="743" spans="1:4" x14ac:dyDescent="0.25">
      <c r="A743" s="62"/>
      <c r="B743" s="60"/>
      <c r="C743" s="61"/>
      <c r="D743" s="60"/>
    </row>
    <row r="744" spans="1:4" x14ac:dyDescent="0.25">
      <c r="A744" s="62"/>
      <c r="B744" s="60"/>
      <c r="C744" s="61"/>
      <c r="D744" s="60"/>
    </row>
    <row r="745" spans="1:4" x14ac:dyDescent="0.25">
      <c r="A745" s="62"/>
      <c r="B745" s="63"/>
      <c r="C745" s="63"/>
      <c r="D745" s="60"/>
    </row>
    <row r="746" spans="1:4" x14ac:dyDescent="0.25">
      <c r="A746" s="62"/>
      <c r="B746" s="60"/>
      <c r="C746" s="61"/>
      <c r="D746" s="60"/>
    </row>
    <row r="747" spans="1:4" x14ac:dyDescent="0.25">
      <c r="A747" s="62"/>
      <c r="B747" s="60"/>
      <c r="C747" s="61"/>
      <c r="D747" s="60"/>
    </row>
    <row r="748" spans="1:4" x14ac:dyDescent="0.25">
      <c r="A748" s="62"/>
      <c r="B748" s="60"/>
      <c r="C748" s="61"/>
      <c r="D748" s="60"/>
    </row>
    <row r="749" spans="1:4" x14ac:dyDescent="0.25">
      <c r="A749" s="62"/>
      <c r="B749" s="60"/>
      <c r="C749" s="61"/>
      <c r="D749" s="60"/>
    </row>
    <row r="750" spans="1:4" x14ac:dyDescent="0.25">
      <c r="A750" s="62"/>
      <c r="B750" s="60"/>
      <c r="C750" s="61"/>
      <c r="D750" s="60"/>
    </row>
    <row r="751" spans="1:4" x14ac:dyDescent="0.25">
      <c r="A751" s="62"/>
      <c r="B751" s="60"/>
      <c r="C751" s="61"/>
      <c r="D751" s="60"/>
    </row>
    <row r="752" spans="1:4" x14ac:dyDescent="0.25">
      <c r="A752" s="62"/>
      <c r="B752" s="60"/>
      <c r="C752" s="61"/>
      <c r="D752" s="60"/>
    </row>
    <row r="753" spans="1:4" x14ac:dyDescent="0.25">
      <c r="A753" s="62"/>
      <c r="B753" s="60"/>
      <c r="C753" s="61"/>
      <c r="D753" s="60"/>
    </row>
    <row r="754" spans="1:4" x14ac:dyDescent="0.25">
      <c r="A754" s="62"/>
      <c r="B754" s="60"/>
      <c r="C754" s="61"/>
      <c r="D754" s="60"/>
    </row>
    <row r="755" spans="1:4" x14ac:dyDescent="0.25">
      <c r="A755" s="62"/>
      <c r="B755" s="60"/>
      <c r="C755" s="61"/>
      <c r="D755" s="60"/>
    </row>
    <row r="756" spans="1:4" x14ac:dyDescent="0.25">
      <c r="A756" s="62"/>
      <c r="B756" s="60"/>
      <c r="C756" s="61"/>
      <c r="D756" s="60"/>
    </row>
    <row r="757" spans="1:4" x14ac:dyDescent="0.25">
      <c r="A757" s="62"/>
      <c r="B757" s="60"/>
      <c r="C757" s="61"/>
      <c r="D757" s="60"/>
    </row>
    <row r="758" spans="1:4" x14ac:dyDescent="0.25">
      <c r="A758" s="62"/>
      <c r="B758" s="60"/>
      <c r="C758" s="61"/>
      <c r="D758" s="60"/>
    </row>
    <row r="759" spans="1:4" x14ac:dyDescent="0.25">
      <c r="A759" s="62"/>
      <c r="B759" s="60"/>
      <c r="C759" s="61"/>
      <c r="D759" s="60"/>
    </row>
    <row r="760" spans="1:4" x14ac:dyDescent="0.25">
      <c r="A760" s="62"/>
      <c r="B760" s="60"/>
      <c r="C760" s="61"/>
      <c r="D760" s="60"/>
    </row>
    <row r="761" spans="1:4" x14ac:dyDescent="0.25">
      <c r="A761" s="62"/>
      <c r="B761" s="63"/>
      <c r="C761" s="63"/>
      <c r="D761" s="60"/>
    </row>
    <row r="762" spans="1:4" x14ac:dyDescent="0.25">
      <c r="A762" s="62"/>
      <c r="B762" s="60"/>
      <c r="C762" s="61"/>
      <c r="D762" s="60"/>
    </row>
    <row r="763" spans="1:4" x14ac:dyDescent="0.25">
      <c r="A763" s="62"/>
      <c r="B763" s="60"/>
      <c r="C763" s="61"/>
      <c r="D763" s="60"/>
    </row>
    <row r="764" spans="1:4" x14ac:dyDescent="0.25">
      <c r="A764" s="62"/>
      <c r="B764" s="60"/>
      <c r="C764" s="61"/>
      <c r="D764" s="60"/>
    </row>
    <row r="765" spans="1:4" x14ac:dyDescent="0.25">
      <c r="A765" s="62"/>
      <c r="B765" s="60"/>
      <c r="C765" s="61"/>
      <c r="D765" s="60"/>
    </row>
    <row r="766" spans="1:4" x14ac:dyDescent="0.25">
      <c r="A766" s="62"/>
      <c r="B766" s="60"/>
      <c r="C766" s="61"/>
      <c r="D766" s="60"/>
    </row>
    <row r="767" spans="1:4" x14ac:dyDescent="0.25">
      <c r="A767" s="62"/>
      <c r="B767" s="60"/>
      <c r="C767" s="61"/>
      <c r="D767" s="60"/>
    </row>
    <row r="768" spans="1:4" x14ac:dyDescent="0.25">
      <c r="A768" s="62"/>
      <c r="B768" s="60"/>
      <c r="C768" s="61"/>
      <c r="D768" s="60"/>
    </row>
    <row r="769" spans="1:4" x14ac:dyDescent="0.25">
      <c r="A769" s="62"/>
      <c r="B769" s="60"/>
      <c r="C769" s="61"/>
      <c r="D769" s="60"/>
    </row>
    <row r="770" spans="1:4" x14ac:dyDescent="0.25">
      <c r="A770" s="62"/>
      <c r="B770" s="63"/>
      <c r="C770" s="63"/>
      <c r="D770" s="60"/>
    </row>
    <row r="771" spans="1:4" x14ac:dyDescent="0.25">
      <c r="A771" s="62"/>
      <c r="B771" s="60"/>
      <c r="C771" s="61"/>
      <c r="D771" s="60"/>
    </row>
    <row r="772" spans="1:4" x14ac:dyDescent="0.25">
      <c r="A772" s="62"/>
      <c r="B772" s="60"/>
      <c r="C772" s="61"/>
      <c r="D772" s="60"/>
    </row>
    <row r="773" spans="1:4" x14ac:dyDescent="0.25">
      <c r="A773" s="62"/>
      <c r="B773" s="60"/>
      <c r="C773" s="61"/>
      <c r="D773" s="60"/>
    </row>
    <row r="774" spans="1:4" x14ac:dyDescent="0.25">
      <c r="A774" s="62"/>
      <c r="B774" s="60"/>
      <c r="C774" s="61"/>
      <c r="D774" s="60"/>
    </row>
    <row r="775" spans="1:4" x14ac:dyDescent="0.25">
      <c r="A775" s="62"/>
      <c r="B775" s="60"/>
      <c r="C775" s="61"/>
      <c r="D775" s="60"/>
    </row>
    <row r="776" spans="1:4" x14ac:dyDescent="0.25">
      <c r="A776" s="62"/>
      <c r="B776" s="60"/>
      <c r="C776" s="61"/>
      <c r="D776" s="60"/>
    </row>
    <row r="777" spans="1:4" x14ac:dyDescent="0.25">
      <c r="A777" s="62"/>
      <c r="B777" s="60"/>
      <c r="C777" s="61"/>
      <c r="D777" s="60"/>
    </row>
    <row r="778" spans="1:4" x14ac:dyDescent="0.25">
      <c r="A778" s="62"/>
      <c r="B778" s="60"/>
      <c r="C778" s="61"/>
      <c r="D778" s="60"/>
    </row>
    <row r="779" spans="1:4" x14ac:dyDescent="0.25">
      <c r="A779" s="62"/>
      <c r="B779" s="60"/>
      <c r="C779" s="61"/>
      <c r="D779" s="60"/>
    </row>
    <row r="780" spans="1:4" x14ac:dyDescent="0.25">
      <c r="A780" s="62"/>
      <c r="B780" s="60"/>
      <c r="C780" s="61"/>
      <c r="D780" s="60"/>
    </row>
    <row r="781" spans="1:4" x14ac:dyDescent="0.25">
      <c r="A781" s="62"/>
      <c r="B781" s="60"/>
      <c r="C781" s="61"/>
      <c r="D781" s="60"/>
    </row>
    <row r="782" spans="1:4" x14ac:dyDescent="0.25">
      <c r="A782" s="62"/>
      <c r="B782" s="60"/>
      <c r="C782" s="61"/>
      <c r="D782" s="60"/>
    </row>
    <row r="783" spans="1:4" x14ac:dyDescent="0.25">
      <c r="A783" s="62"/>
      <c r="B783" s="60"/>
      <c r="C783" s="61"/>
      <c r="D783" s="60"/>
    </row>
    <row r="784" spans="1:4" x14ac:dyDescent="0.25">
      <c r="A784" s="62"/>
      <c r="B784" s="60"/>
      <c r="C784" s="61"/>
      <c r="D784" s="60"/>
    </row>
    <row r="785" spans="1:4" x14ac:dyDescent="0.25">
      <c r="A785" s="62"/>
      <c r="B785" s="60"/>
      <c r="C785" s="61"/>
      <c r="D785" s="60"/>
    </row>
    <row r="786" spans="1:4" x14ac:dyDescent="0.25">
      <c r="A786" s="62"/>
      <c r="B786" s="60"/>
      <c r="C786" s="61"/>
      <c r="D786" s="60"/>
    </row>
    <row r="787" spans="1:4" x14ac:dyDescent="0.25">
      <c r="A787" s="62"/>
      <c r="B787" s="60"/>
      <c r="C787" s="61"/>
      <c r="D787" s="60"/>
    </row>
    <row r="788" spans="1:4" x14ac:dyDescent="0.25">
      <c r="A788" s="62"/>
      <c r="B788" s="60"/>
      <c r="C788" s="61"/>
      <c r="D788" s="60"/>
    </row>
    <row r="789" spans="1:4" x14ac:dyDescent="0.25">
      <c r="A789" s="62"/>
      <c r="B789" s="60"/>
      <c r="C789" s="61"/>
      <c r="D789" s="60"/>
    </row>
    <row r="790" spans="1:4" x14ac:dyDescent="0.25">
      <c r="A790" s="62"/>
      <c r="B790" s="60"/>
      <c r="C790" s="61"/>
      <c r="D790" s="60"/>
    </row>
    <row r="791" spans="1:4" x14ac:dyDescent="0.25">
      <c r="A791" s="62"/>
      <c r="B791" s="60"/>
      <c r="C791" s="61"/>
      <c r="D791" s="60"/>
    </row>
    <row r="792" spans="1:4" x14ac:dyDescent="0.25">
      <c r="A792" s="62"/>
      <c r="B792" s="60"/>
      <c r="C792" s="61"/>
      <c r="D792" s="60"/>
    </row>
    <row r="793" spans="1:4" x14ac:dyDescent="0.25">
      <c r="A793" s="62"/>
      <c r="B793" s="60"/>
      <c r="C793" s="61"/>
      <c r="D793" s="60"/>
    </row>
    <row r="794" spans="1:4" x14ac:dyDescent="0.25">
      <c r="A794" s="62"/>
      <c r="B794" s="60"/>
      <c r="C794" s="61"/>
      <c r="D794" s="60"/>
    </row>
    <row r="795" spans="1:4" x14ac:dyDescent="0.25">
      <c r="A795" s="62"/>
      <c r="B795" s="63"/>
      <c r="C795" s="63"/>
      <c r="D795" s="60"/>
    </row>
    <row r="796" spans="1:4" x14ac:dyDescent="0.25">
      <c r="A796" s="62"/>
      <c r="B796" s="60"/>
      <c r="C796" s="61"/>
      <c r="D796" s="60"/>
    </row>
    <row r="797" spans="1:4" x14ac:dyDescent="0.25">
      <c r="A797" s="62"/>
      <c r="B797" s="60"/>
      <c r="C797" s="61"/>
      <c r="D797" s="60"/>
    </row>
    <row r="798" spans="1:4" x14ac:dyDescent="0.25">
      <c r="A798" s="62"/>
      <c r="B798" s="60"/>
      <c r="C798" s="61"/>
      <c r="D798" s="60"/>
    </row>
    <row r="799" spans="1:4" x14ac:dyDescent="0.25">
      <c r="A799" s="62"/>
      <c r="B799" s="60"/>
      <c r="C799" s="61"/>
      <c r="D799" s="60"/>
    </row>
    <row r="800" spans="1:4" x14ac:dyDescent="0.25">
      <c r="A800" s="62"/>
      <c r="B800" s="60"/>
      <c r="C800" s="61"/>
      <c r="D800" s="60"/>
    </row>
    <row r="801" spans="1:4" x14ac:dyDescent="0.25">
      <c r="A801" s="62"/>
      <c r="B801" s="60"/>
      <c r="C801" s="61"/>
      <c r="D801" s="60"/>
    </row>
    <row r="802" spans="1:4" x14ac:dyDescent="0.25">
      <c r="A802" s="62"/>
      <c r="B802" s="60"/>
      <c r="C802" s="61"/>
      <c r="D802" s="60"/>
    </row>
    <row r="803" spans="1:4" x14ac:dyDescent="0.25">
      <c r="A803" s="62"/>
      <c r="B803" s="60"/>
      <c r="C803" s="61"/>
      <c r="D803" s="60"/>
    </row>
    <row r="804" spans="1:4" x14ac:dyDescent="0.25">
      <c r="A804" s="62"/>
      <c r="B804" s="60"/>
      <c r="C804" s="61"/>
      <c r="D804" s="60"/>
    </row>
    <row r="805" spans="1:4" x14ac:dyDescent="0.25">
      <c r="A805" s="62"/>
      <c r="B805" s="60"/>
      <c r="C805" s="61"/>
      <c r="D805" s="60"/>
    </row>
    <row r="806" spans="1:4" x14ac:dyDescent="0.25">
      <c r="A806" s="62"/>
      <c r="B806" s="60"/>
      <c r="C806" s="61"/>
      <c r="D806" s="60"/>
    </row>
    <row r="807" spans="1:4" x14ac:dyDescent="0.25">
      <c r="A807" s="62"/>
      <c r="B807" s="60"/>
      <c r="C807" s="61"/>
      <c r="D807" s="60"/>
    </row>
    <row r="808" spans="1:4" x14ac:dyDescent="0.25">
      <c r="A808" s="62"/>
      <c r="B808" s="60"/>
      <c r="C808" s="61"/>
      <c r="D808" s="60"/>
    </row>
    <row r="809" spans="1:4" x14ac:dyDescent="0.25">
      <c r="A809" s="62"/>
      <c r="B809" s="60"/>
      <c r="C809" s="61"/>
      <c r="D809" s="60"/>
    </row>
    <row r="810" spans="1:4" x14ac:dyDescent="0.25">
      <c r="A810" s="62"/>
      <c r="B810" s="60"/>
      <c r="C810" s="61"/>
      <c r="D810" s="60"/>
    </row>
    <row r="811" spans="1:4" x14ac:dyDescent="0.25">
      <c r="A811" s="62"/>
      <c r="B811" s="60"/>
      <c r="C811" s="61"/>
      <c r="D811" s="60"/>
    </row>
    <row r="812" spans="1:4" x14ac:dyDescent="0.25">
      <c r="A812" s="62"/>
      <c r="B812" s="60"/>
      <c r="C812" s="61"/>
      <c r="D812" s="60"/>
    </row>
    <row r="813" spans="1:4" x14ac:dyDescent="0.25">
      <c r="A813" s="62"/>
      <c r="B813" s="60"/>
      <c r="C813" s="61"/>
      <c r="D813" s="60"/>
    </row>
    <row r="814" spans="1:4" x14ac:dyDescent="0.25">
      <c r="A814" s="62"/>
      <c r="B814" s="60"/>
      <c r="C814" s="61"/>
      <c r="D814" s="60"/>
    </row>
    <row r="815" spans="1:4" x14ac:dyDescent="0.25">
      <c r="A815" s="62"/>
      <c r="B815" s="60"/>
      <c r="C815" s="61"/>
      <c r="D815" s="60"/>
    </row>
    <row r="816" spans="1:4" x14ac:dyDescent="0.25">
      <c r="A816" s="62"/>
      <c r="B816" s="60"/>
      <c r="C816" s="61"/>
      <c r="D816" s="60"/>
    </row>
    <row r="817" spans="1:4" x14ac:dyDescent="0.25">
      <c r="A817" s="62"/>
      <c r="B817" s="60"/>
      <c r="C817" s="61"/>
      <c r="D817" s="60"/>
    </row>
    <row r="818" spans="1:4" x14ac:dyDescent="0.25">
      <c r="A818" s="62"/>
      <c r="B818" s="60"/>
      <c r="C818" s="61"/>
      <c r="D818" s="60"/>
    </row>
    <row r="819" spans="1:4" x14ac:dyDescent="0.25">
      <c r="A819" s="62"/>
      <c r="B819" s="60"/>
      <c r="C819" s="61"/>
      <c r="D819" s="60"/>
    </row>
    <row r="820" spans="1:4" x14ac:dyDescent="0.25">
      <c r="A820" s="62"/>
      <c r="B820" s="60"/>
      <c r="C820" s="61"/>
      <c r="D820" s="60"/>
    </row>
    <row r="821" spans="1:4" x14ac:dyDescent="0.25">
      <c r="A821" s="62"/>
      <c r="B821" s="60"/>
      <c r="C821" s="61"/>
      <c r="D821" s="60"/>
    </row>
    <row r="822" spans="1:4" x14ac:dyDescent="0.25">
      <c r="A822" s="62"/>
      <c r="B822" s="60"/>
      <c r="C822" s="61"/>
      <c r="D822" s="60"/>
    </row>
    <row r="823" spans="1:4" x14ac:dyDescent="0.25">
      <c r="A823" s="62"/>
      <c r="B823" s="60"/>
      <c r="C823" s="61"/>
      <c r="D823" s="60"/>
    </row>
    <row r="824" spans="1:4" x14ac:dyDescent="0.25">
      <c r="A824" s="62"/>
      <c r="B824" s="60"/>
      <c r="C824" s="61"/>
      <c r="D824" s="60"/>
    </row>
    <row r="825" spans="1:4" x14ac:dyDescent="0.25">
      <c r="A825" s="62"/>
      <c r="B825" s="60"/>
      <c r="C825" s="61"/>
      <c r="D825" s="60"/>
    </row>
    <row r="826" spans="1:4" x14ac:dyDescent="0.25">
      <c r="A826" s="62"/>
      <c r="B826" s="60"/>
      <c r="C826" s="61"/>
      <c r="D826" s="60"/>
    </row>
    <row r="827" spans="1:4" x14ac:dyDescent="0.25">
      <c r="A827" s="62"/>
      <c r="B827" s="60"/>
      <c r="C827" s="61"/>
      <c r="D827" s="60"/>
    </row>
    <row r="828" spans="1:4" x14ac:dyDescent="0.25">
      <c r="A828" s="62"/>
      <c r="B828" s="63"/>
      <c r="C828" s="63"/>
      <c r="D828" s="60"/>
    </row>
    <row r="829" spans="1:4" x14ac:dyDescent="0.25">
      <c r="A829" s="62"/>
      <c r="B829" s="60"/>
      <c r="C829" s="61"/>
      <c r="D829" s="60"/>
    </row>
    <row r="830" spans="1:4" x14ac:dyDescent="0.25">
      <c r="A830" s="62"/>
      <c r="B830" s="60"/>
      <c r="C830" s="61"/>
      <c r="D830" s="60"/>
    </row>
    <row r="831" spans="1:4" x14ac:dyDescent="0.25">
      <c r="A831" s="62"/>
      <c r="B831" s="60"/>
      <c r="C831" s="61"/>
      <c r="D831" s="60"/>
    </row>
    <row r="832" spans="1:4" x14ac:dyDescent="0.25">
      <c r="A832" s="62"/>
      <c r="B832" s="60"/>
      <c r="C832" s="61"/>
      <c r="D832" s="60"/>
    </row>
    <row r="833" spans="1:4" x14ac:dyDescent="0.25">
      <c r="A833" s="62"/>
      <c r="B833" s="60"/>
      <c r="C833" s="61"/>
      <c r="D833" s="60"/>
    </row>
    <row r="834" spans="1:4" x14ac:dyDescent="0.25">
      <c r="A834" s="62"/>
      <c r="B834" s="60"/>
      <c r="C834" s="61"/>
      <c r="D834" s="60"/>
    </row>
    <row r="835" spans="1:4" x14ac:dyDescent="0.25">
      <c r="A835" s="62"/>
      <c r="B835" s="60"/>
      <c r="C835" s="61"/>
      <c r="D835" s="60"/>
    </row>
    <row r="836" spans="1:4" x14ac:dyDescent="0.25">
      <c r="A836" s="62"/>
      <c r="B836" s="60"/>
      <c r="C836" s="61"/>
      <c r="D836" s="60"/>
    </row>
    <row r="837" spans="1:4" x14ac:dyDescent="0.25">
      <c r="A837" s="62"/>
      <c r="B837" s="60"/>
      <c r="C837" s="61"/>
      <c r="D837" s="60"/>
    </row>
    <row r="838" spans="1:4" x14ac:dyDescent="0.25">
      <c r="A838" s="62"/>
      <c r="B838" s="60"/>
      <c r="C838" s="61"/>
      <c r="D838" s="60"/>
    </row>
    <row r="839" spans="1:4" x14ac:dyDescent="0.25">
      <c r="A839" s="62"/>
      <c r="B839" s="60"/>
      <c r="C839" s="61"/>
      <c r="D839" s="60"/>
    </row>
    <row r="840" spans="1:4" x14ac:dyDescent="0.25">
      <c r="A840" s="62"/>
      <c r="B840" s="60"/>
      <c r="C840" s="61"/>
      <c r="D840" s="60"/>
    </row>
    <row r="841" spans="1:4" x14ac:dyDescent="0.25">
      <c r="A841" s="62"/>
      <c r="B841" s="60"/>
      <c r="C841" s="61"/>
      <c r="D841" s="60"/>
    </row>
    <row r="842" spans="1:4" x14ac:dyDescent="0.25">
      <c r="A842" s="62"/>
      <c r="B842" s="60"/>
      <c r="C842" s="61"/>
      <c r="D842" s="60"/>
    </row>
    <row r="843" spans="1:4" x14ac:dyDescent="0.25">
      <c r="A843" s="62"/>
      <c r="B843" s="60"/>
      <c r="C843" s="61"/>
      <c r="D843" s="60"/>
    </row>
    <row r="844" spans="1:4" x14ac:dyDescent="0.25">
      <c r="A844" s="62"/>
      <c r="B844" s="60"/>
      <c r="C844" s="61"/>
      <c r="D844" s="60"/>
    </row>
    <row r="845" spans="1:4" x14ac:dyDescent="0.25">
      <c r="A845" s="62"/>
      <c r="B845" s="60"/>
      <c r="C845" s="61"/>
      <c r="D845" s="60"/>
    </row>
    <row r="846" spans="1:4" x14ac:dyDescent="0.25">
      <c r="A846" s="62"/>
      <c r="B846" s="60"/>
      <c r="C846" s="61"/>
      <c r="D846" s="60"/>
    </row>
    <row r="847" spans="1:4" x14ac:dyDescent="0.25">
      <c r="A847" s="62"/>
      <c r="B847" s="60"/>
      <c r="C847" s="61"/>
      <c r="D847" s="60"/>
    </row>
    <row r="848" spans="1:4" x14ac:dyDescent="0.25">
      <c r="A848" s="62"/>
      <c r="B848" s="60"/>
      <c r="C848" s="61"/>
      <c r="D848" s="60"/>
    </row>
    <row r="849" spans="1:4" x14ac:dyDescent="0.25">
      <c r="A849" s="62"/>
      <c r="B849" s="60"/>
      <c r="C849" s="61"/>
      <c r="D849" s="60"/>
    </row>
    <row r="850" spans="1:4" x14ac:dyDescent="0.25">
      <c r="A850" s="62"/>
      <c r="B850" s="60"/>
      <c r="C850" s="61"/>
      <c r="D850" s="63"/>
    </row>
    <row r="851" spans="1:4" x14ac:dyDescent="0.25">
      <c r="A851" s="62"/>
      <c r="B851" s="60"/>
      <c r="C851" s="61"/>
      <c r="D851" s="60"/>
    </row>
    <row r="852" spans="1:4" x14ac:dyDescent="0.25">
      <c r="A852" s="62"/>
      <c r="B852" s="60"/>
      <c r="C852" s="61"/>
      <c r="D852" s="60"/>
    </row>
    <row r="853" spans="1:4" x14ac:dyDescent="0.25">
      <c r="A853" s="62"/>
      <c r="B853" s="60"/>
      <c r="C853" s="61"/>
      <c r="D853" s="60"/>
    </row>
    <row r="854" spans="1:4" x14ac:dyDescent="0.25">
      <c r="A854" s="62"/>
      <c r="B854" s="60"/>
      <c r="C854" s="61"/>
      <c r="D854" s="60"/>
    </row>
    <row r="855" spans="1:4" x14ac:dyDescent="0.25">
      <c r="A855" s="62"/>
      <c r="B855" s="60"/>
      <c r="C855" s="61"/>
      <c r="D855" s="60"/>
    </row>
    <row r="856" spans="1:4" x14ac:dyDescent="0.25">
      <c r="A856" s="62"/>
      <c r="B856" s="60"/>
      <c r="C856" s="61"/>
      <c r="D856" s="60"/>
    </row>
    <row r="857" spans="1:4" x14ac:dyDescent="0.25">
      <c r="A857" s="62"/>
      <c r="B857" s="60"/>
      <c r="C857" s="61"/>
      <c r="D857" s="60"/>
    </row>
    <row r="858" spans="1:4" x14ac:dyDescent="0.25">
      <c r="A858" s="62"/>
      <c r="B858" s="60"/>
      <c r="C858" s="61"/>
      <c r="D858" s="60"/>
    </row>
    <row r="859" spans="1:4" x14ac:dyDescent="0.25">
      <c r="A859" s="62"/>
      <c r="B859" s="60"/>
      <c r="C859" s="61"/>
      <c r="D859" s="60"/>
    </row>
    <row r="860" spans="1:4" x14ac:dyDescent="0.25">
      <c r="A860" s="62"/>
      <c r="B860" s="60"/>
      <c r="C860" s="61"/>
      <c r="D860" s="60"/>
    </row>
    <row r="861" spans="1:4" x14ac:dyDescent="0.25">
      <c r="A861" s="62"/>
      <c r="B861" s="60"/>
      <c r="C861" s="61"/>
      <c r="D861" s="60"/>
    </row>
    <row r="862" spans="1:4" x14ac:dyDescent="0.25">
      <c r="A862" s="62"/>
      <c r="B862" s="60"/>
      <c r="C862" s="61"/>
      <c r="D862" s="60"/>
    </row>
    <row r="863" spans="1:4" x14ac:dyDescent="0.25">
      <c r="A863" s="62"/>
      <c r="B863" s="60"/>
      <c r="C863" s="61"/>
      <c r="D863" s="60"/>
    </row>
    <row r="864" spans="1:4" x14ac:dyDescent="0.25">
      <c r="A864" s="62"/>
      <c r="B864" s="60"/>
      <c r="C864" s="61"/>
      <c r="D864" s="60"/>
    </row>
    <row r="865" spans="1:4" x14ac:dyDescent="0.25">
      <c r="A865" s="62"/>
      <c r="B865" s="60"/>
      <c r="C865" s="61"/>
      <c r="D865" s="60"/>
    </row>
    <row r="866" spans="1:4" x14ac:dyDescent="0.25">
      <c r="A866" s="62"/>
      <c r="B866" s="60"/>
      <c r="C866" s="61"/>
      <c r="D866" s="60"/>
    </row>
    <row r="867" spans="1:4" x14ac:dyDescent="0.25">
      <c r="A867" s="62"/>
      <c r="B867" s="60"/>
      <c r="C867" s="61"/>
      <c r="D867" s="60"/>
    </row>
    <row r="868" spans="1:4" x14ac:dyDescent="0.25">
      <c r="A868" s="62"/>
      <c r="B868" s="60"/>
      <c r="C868" s="61"/>
      <c r="D868" s="60"/>
    </row>
    <row r="869" spans="1:4" x14ac:dyDescent="0.25">
      <c r="A869" s="62"/>
      <c r="B869" s="60"/>
      <c r="C869" s="61"/>
      <c r="D869" s="60"/>
    </row>
    <row r="870" spans="1:4" x14ac:dyDescent="0.25">
      <c r="A870" s="62"/>
      <c r="B870" s="60"/>
      <c r="C870" s="61"/>
      <c r="D870" s="60"/>
    </row>
    <row r="871" spans="1:4" x14ac:dyDescent="0.25">
      <c r="A871" s="62"/>
      <c r="B871" s="63"/>
      <c r="C871" s="63"/>
      <c r="D871" s="60"/>
    </row>
    <row r="872" spans="1:4" x14ac:dyDescent="0.25">
      <c r="A872" s="62"/>
      <c r="B872" s="60"/>
      <c r="C872" s="61"/>
      <c r="D872" s="60"/>
    </row>
    <row r="873" spans="1:4" x14ac:dyDescent="0.25">
      <c r="A873" s="62"/>
      <c r="B873" s="60"/>
      <c r="C873" s="61"/>
      <c r="D873" s="60"/>
    </row>
    <row r="874" spans="1:4" x14ac:dyDescent="0.25">
      <c r="A874" s="62"/>
      <c r="B874" s="60"/>
      <c r="C874" s="61"/>
      <c r="D874" s="60"/>
    </row>
    <row r="875" spans="1:4" x14ac:dyDescent="0.25">
      <c r="A875" s="62"/>
      <c r="B875" s="60"/>
      <c r="C875" s="61"/>
      <c r="D875" s="60"/>
    </row>
    <row r="876" spans="1:4" x14ac:dyDescent="0.25">
      <c r="A876" s="62"/>
      <c r="B876" s="60"/>
      <c r="C876" s="61"/>
      <c r="D876" s="60"/>
    </row>
    <row r="877" spans="1:4" x14ac:dyDescent="0.25">
      <c r="A877" s="62"/>
      <c r="B877" s="60"/>
      <c r="C877" s="61"/>
      <c r="D877" s="60"/>
    </row>
    <row r="878" spans="1:4" x14ac:dyDescent="0.25">
      <c r="A878" s="62"/>
      <c r="B878" s="60"/>
      <c r="C878" s="61"/>
      <c r="D878" s="60"/>
    </row>
    <row r="879" spans="1:4" x14ac:dyDescent="0.25">
      <c r="A879" s="62"/>
      <c r="B879" s="60"/>
      <c r="C879" s="61"/>
      <c r="D879" s="60"/>
    </row>
    <row r="880" spans="1:4" x14ac:dyDescent="0.25">
      <c r="A880" s="62"/>
      <c r="B880" s="60"/>
      <c r="C880" s="61"/>
      <c r="D880" s="60"/>
    </row>
    <row r="881" spans="1:4" x14ac:dyDescent="0.25">
      <c r="A881" s="62"/>
      <c r="B881" s="60"/>
      <c r="C881" s="61"/>
      <c r="D881" s="60"/>
    </row>
    <row r="882" spans="1:4" x14ac:dyDescent="0.25">
      <c r="A882" s="62"/>
      <c r="B882" s="63"/>
      <c r="C882" s="63"/>
      <c r="D882" s="60"/>
    </row>
    <row r="883" spans="1:4" x14ac:dyDescent="0.25">
      <c r="A883" s="62"/>
      <c r="B883" s="60"/>
      <c r="C883" s="61"/>
      <c r="D883" s="60"/>
    </row>
    <row r="884" spans="1:4" x14ac:dyDescent="0.25">
      <c r="A884" s="62"/>
      <c r="B884" s="60"/>
      <c r="C884" s="61"/>
      <c r="D884" s="60"/>
    </row>
    <row r="885" spans="1:4" x14ac:dyDescent="0.25">
      <c r="A885" s="62"/>
      <c r="B885" s="60"/>
      <c r="C885" s="61"/>
      <c r="D885" s="60"/>
    </row>
    <row r="886" spans="1:4" x14ac:dyDescent="0.25">
      <c r="A886" s="62"/>
      <c r="B886" s="60"/>
      <c r="C886" s="61"/>
      <c r="D886" s="60"/>
    </row>
    <row r="887" spans="1:4" x14ac:dyDescent="0.25">
      <c r="A887" s="62"/>
      <c r="B887" s="63"/>
      <c r="C887" s="63"/>
      <c r="D887" s="60"/>
    </row>
    <row r="888" spans="1:4" x14ac:dyDescent="0.25">
      <c r="A888" s="62"/>
      <c r="B888" s="60"/>
      <c r="C888" s="61"/>
      <c r="D888" s="60"/>
    </row>
    <row r="889" spans="1:4" x14ac:dyDescent="0.25">
      <c r="A889" s="62"/>
      <c r="B889" s="60"/>
      <c r="C889" s="61"/>
      <c r="D889" s="60"/>
    </row>
    <row r="890" spans="1:4" x14ac:dyDescent="0.25">
      <c r="A890" s="62"/>
      <c r="B890" s="63"/>
      <c r="C890" s="63"/>
      <c r="D890" s="60"/>
    </row>
    <row r="891" spans="1:4" x14ac:dyDescent="0.25">
      <c r="A891" s="62"/>
      <c r="B891" s="60"/>
      <c r="C891" s="61"/>
      <c r="D891" s="60"/>
    </row>
    <row r="892" spans="1:4" x14ac:dyDescent="0.25">
      <c r="A892" s="62"/>
      <c r="B892" s="60"/>
      <c r="C892" s="61"/>
      <c r="D892" s="60"/>
    </row>
    <row r="893" spans="1:4" x14ac:dyDescent="0.25">
      <c r="A893" s="62"/>
      <c r="B893" s="63"/>
      <c r="C893" s="63"/>
      <c r="D893" s="60"/>
    </row>
    <row r="894" spans="1:4" x14ac:dyDescent="0.25">
      <c r="A894" s="62"/>
      <c r="B894" s="60"/>
      <c r="C894" s="61"/>
      <c r="D894" s="60"/>
    </row>
    <row r="895" spans="1:4" x14ac:dyDescent="0.25">
      <c r="A895" s="62"/>
      <c r="B895" s="60"/>
      <c r="C895" s="61"/>
      <c r="D895" s="60"/>
    </row>
    <row r="896" spans="1:4" x14ac:dyDescent="0.25">
      <c r="A896" s="62"/>
      <c r="B896" s="60"/>
      <c r="C896" s="61"/>
      <c r="D896" s="60"/>
    </row>
    <row r="897" spans="1:4" x14ac:dyDescent="0.25">
      <c r="A897" s="62"/>
      <c r="B897" s="60"/>
      <c r="C897" s="61"/>
      <c r="D897" s="60"/>
    </row>
    <row r="898" spans="1:4" x14ac:dyDescent="0.25">
      <c r="A898" s="62"/>
      <c r="B898" s="60"/>
      <c r="C898" s="61"/>
      <c r="D898" s="60"/>
    </row>
    <row r="899" spans="1:4" x14ac:dyDescent="0.25">
      <c r="A899" s="62"/>
      <c r="B899" s="60"/>
      <c r="C899" s="61"/>
      <c r="D899" s="60"/>
    </row>
    <row r="900" spans="1:4" x14ac:dyDescent="0.25">
      <c r="A900" s="62"/>
      <c r="B900" s="60"/>
      <c r="C900" s="61"/>
      <c r="D900" s="60"/>
    </row>
    <row r="901" spans="1:4" x14ac:dyDescent="0.25">
      <c r="A901" s="62"/>
      <c r="B901" s="60"/>
      <c r="C901" s="61"/>
      <c r="D901" s="60"/>
    </row>
    <row r="902" spans="1:4" x14ac:dyDescent="0.25">
      <c r="A902" s="62"/>
      <c r="B902" s="60"/>
      <c r="C902" s="61"/>
      <c r="D902" s="60"/>
    </row>
    <row r="903" spans="1:4" x14ac:dyDescent="0.25">
      <c r="A903" s="62"/>
      <c r="B903" s="60"/>
      <c r="C903" s="61"/>
      <c r="D903" s="60"/>
    </row>
    <row r="904" spans="1:4" x14ac:dyDescent="0.25">
      <c r="A904" s="62"/>
      <c r="B904" s="60"/>
      <c r="C904" s="61"/>
      <c r="D904" s="60"/>
    </row>
    <row r="905" spans="1:4" x14ac:dyDescent="0.25">
      <c r="A905" s="62"/>
      <c r="B905" s="60"/>
      <c r="C905" s="61"/>
      <c r="D905" s="60"/>
    </row>
    <row r="906" spans="1:4" x14ac:dyDescent="0.25">
      <c r="A906" s="62"/>
      <c r="B906" s="60"/>
      <c r="C906" s="61"/>
      <c r="D906" s="60"/>
    </row>
    <row r="907" spans="1:4" x14ac:dyDescent="0.25">
      <c r="A907" s="62"/>
      <c r="B907" s="60"/>
      <c r="C907" s="61"/>
      <c r="D907" s="60"/>
    </row>
    <row r="908" spans="1:4" x14ac:dyDescent="0.25">
      <c r="A908" s="62"/>
      <c r="B908" s="60"/>
      <c r="C908" s="61"/>
      <c r="D908" s="60"/>
    </row>
    <row r="909" spans="1:4" x14ac:dyDescent="0.25">
      <c r="A909" s="62"/>
      <c r="B909" s="60"/>
      <c r="C909" s="61"/>
      <c r="D909" s="60"/>
    </row>
    <row r="910" spans="1:4" x14ac:dyDescent="0.25">
      <c r="A910" s="62"/>
      <c r="B910" s="63"/>
      <c r="C910" s="63"/>
      <c r="D910" s="60"/>
    </row>
    <row r="911" spans="1:4" x14ac:dyDescent="0.25">
      <c r="A911" s="62"/>
      <c r="B911" s="60"/>
      <c r="C911" s="61"/>
      <c r="D911" s="60"/>
    </row>
    <row r="912" spans="1:4" x14ac:dyDescent="0.25">
      <c r="A912" s="62"/>
      <c r="B912" s="60"/>
      <c r="C912" s="61"/>
      <c r="D912" s="60"/>
    </row>
    <row r="913" spans="1:4" x14ac:dyDescent="0.25">
      <c r="A913" s="62"/>
      <c r="B913" s="60"/>
      <c r="C913" s="61"/>
      <c r="D913" s="60"/>
    </row>
    <row r="914" spans="1:4" x14ac:dyDescent="0.25">
      <c r="A914" s="62"/>
      <c r="B914" s="60"/>
      <c r="C914" s="61"/>
      <c r="D914" s="60"/>
    </row>
    <row r="915" spans="1:4" x14ac:dyDescent="0.25">
      <c r="A915" s="62"/>
      <c r="B915" s="60"/>
      <c r="C915" s="61"/>
      <c r="D915" s="60"/>
    </row>
    <row r="916" spans="1:4" x14ac:dyDescent="0.25">
      <c r="A916" s="62"/>
      <c r="B916" s="60"/>
      <c r="C916" s="61"/>
      <c r="D916" s="60"/>
    </row>
    <row r="917" spans="1:4" x14ac:dyDescent="0.25">
      <c r="A917" s="62"/>
      <c r="B917" s="60"/>
      <c r="C917" s="61"/>
      <c r="D917" s="60"/>
    </row>
    <row r="918" spans="1:4" x14ac:dyDescent="0.25">
      <c r="A918" s="62"/>
      <c r="B918" s="60"/>
      <c r="C918" s="61"/>
      <c r="D918" s="60"/>
    </row>
    <row r="919" spans="1:4" x14ac:dyDescent="0.25">
      <c r="A919" s="62"/>
      <c r="B919" s="60"/>
      <c r="C919" s="61"/>
      <c r="D919" s="60"/>
    </row>
    <row r="920" spans="1:4" x14ac:dyDescent="0.25">
      <c r="A920" s="62"/>
      <c r="B920" s="60"/>
      <c r="C920" s="61"/>
      <c r="D920" s="60"/>
    </row>
    <row r="921" spans="1:4" x14ac:dyDescent="0.25">
      <c r="A921" s="62"/>
      <c r="B921" s="60"/>
      <c r="C921" s="61"/>
      <c r="D921" s="60"/>
    </row>
    <row r="922" spans="1:4" x14ac:dyDescent="0.25">
      <c r="A922" s="62"/>
      <c r="B922" s="60"/>
      <c r="C922" s="61"/>
      <c r="D922" s="60"/>
    </row>
    <row r="923" spans="1:4" x14ac:dyDescent="0.25">
      <c r="A923" s="62"/>
      <c r="B923" s="60"/>
      <c r="C923" s="61"/>
      <c r="D923" s="60"/>
    </row>
    <row r="924" spans="1:4" x14ac:dyDescent="0.25">
      <c r="A924" s="62"/>
      <c r="B924" s="60"/>
      <c r="C924" s="61"/>
      <c r="D924" s="60"/>
    </row>
    <row r="925" spans="1:4" x14ac:dyDescent="0.25">
      <c r="A925" s="62"/>
      <c r="B925" s="60"/>
      <c r="C925" s="61"/>
      <c r="D925" s="60"/>
    </row>
    <row r="926" spans="1:4" x14ac:dyDescent="0.25">
      <c r="A926" s="62"/>
      <c r="B926" s="60"/>
      <c r="C926" s="61"/>
      <c r="D926" s="60"/>
    </row>
    <row r="927" spans="1:4" x14ac:dyDescent="0.25">
      <c r="A927" s="62"/>
      <c r="B927" s="60"/>
      <c r="C927" s="61"/>
      <c r="D927" s="60"/>
    </row>
    <row r="928" spans="1:4" x14ac:dyDescent="0.25">
      <c r="A928" s="62"/>
      <c r="B928" s="60"/>
      <c r="C928" s="61"/>
      <c r="D928" s="60"/>
    </row>
    <row r="929" spans="1:4" x14ac:dyDescent="0.25">
      <c r="A929" s="62"/>
      <c r="B929" s="60"/>
      <c r="C929" s="61"/>
      <c r="D929" s="60"/>
    </row>
    <row r="930" spans="1:4" x14ac:dyDescent="0.25">
      <c r="A930" s="62"/>
      <c r="B930" s="60"/>
      <c r="C930" s="61"/>
      <c r="D930" s="60"/>
    </row>
    <row r="931" spans="1:4" x14ac:dyDescent="0.25">
      <c r="A931" s="62"/>
      <c r="B931" s="60"/>
      <c r="C931" s="61"/>
      <c r="D931" s="60"/>
    </row>
    <row r="932" spans="1:4" x14ac:dyDescent="0.25">
      <c r="A932" s="62"/>
      <c r="B932" s="60"/>
      <c r="C932" s="61"/>
      <c r="D932" s="60"/>
    </row>
    <row r="933" spans="1:4" x14ac:dyDescent="0.25">
      <c r="A933" s="62"/>
      <c r="B933" s="60"/>
      <c r="C933" s="61"/>
      <c r="D933" s="60"/>
    </row>
    <row r="934" spans="1:4" x14ac:dyDescent="0.25">
      <c r="A934" s="62"/>
      <c r="B934" s="60"/>
      <c r="C934" s="61"/>
      <c r="D934" s="60"/>
    </row>
    <row r="935" spans="1:4" x14ac:dyDescent="0.25">
      <c r="A935" s="62"/>
      <c r="B935" s="60"/>
      <c r="C935" s="61"/>
      <c r="D935" s="60"/>
    </row>
    <row r="936" spans="1:4" x14ac:dyDescent="0.25">
      <c r="A936" s="62"/>
      <c r="B936" s="60"/>
      <c r="C936" s="61"/>
      <c r="D936" s="60"/>
    </row>
    <row r="937" spans="1:4" x14ac:dyDescent="0.25">
      <c r="A937" s="62"/>
      <c r="B937" s="60"/>
      <c r="C937" s="61"/>
      <c r="D937" s="60"/>
    </row>
    <row r="938" spans="1:4" x14ac:dyDescent="0.25">
      <c r="A938" s="62"/>
      <c r="B938" s="63"/>
      <c r="C938" s="63"/>
      <c r="D938" s="60"/>
    </row>
    <row r="939" spans="1:4" x14ac:dyDescent="0.25">
      <c r="A939" s="62"/>
      <c r="B939" s="60"/>
      <c r="C939" s="61"/>
      <c r="D939" s="60"/>
    </row>
    <row r="940" spans="1:4" x14ac:dyDescent="0.25">
      <c r="A940" s="62"/>
      <c r="B940" s="60"/>
      <c r="C940" s="61"/>
      <c r="D940" s="60"/>
    </row>
    <row r="941" spans="1:4" x14ac:dyDescent="0.25">
      <c r="A941" s="62"/>
      <c r="B941" s="60"/>
      <c r="C941" s="61"/>
      <c r="D941" s="60"/>
    </row>
    <row r="942" spans="1:4" x14ac:dyDescent="0.25">
      <c r="A942" s="62"/>
      <c r="B942" s="60"/>
      <c r="C942" s="61"/>
      <c r="D942" s="60"/>
    </row>
    <row r="943" spans="1:4" x14ac:dyDescent="0.25">
      <c r="A943" s="62"/>
      <c r="B943" s="60"/>
      <c r="C943" s="61"/>
      <c r="D943" s="60"/>
    </row>
    <row r="944" spans="1:4" x14ac:dyDescent="0.25">
      <c r="A944" s="62"/>
      <c r="B944" s="60"/>
      <c r="C944" s="61"/>
      <c r="D944" s="60"/>
    </row>
    <row r="945" spans="1:4" x14ac:dyDescent="0.25">
      <c r="A945" s="62"/>
      <c r="B945" s="60"/>
      <c r="C945" s="61"/>
      <c r="D945" s="60"/>
    </row>
    <row r="946" spans="1:4" x14ac:dyDescent="0.25">
      <c r="A946" s="62"/>
      <c r="B946" s="60"/>
      <c r="C946" s="61"/>
      <c r="D946" s="60"/>
    </row>
    <row r="947" spans="1:4" x14ac:dyDescent="0.25">
      <c r="A947" s="62"/>
      <c r="B947" s="60"/>
      <c r="C947" s="61"/>
      <c r="D947" s="60"/>
    </row>
    <row r="948" spans="1:4" x14ac:dyDescent="0.25">
      <c r="A948" s="62"/>
      <c r="B948" s="60"/>
      <c r="C948" s="61"/>
      <c r="D948" s="60"/>
    </row>
    <row r="949" spans="1:4" x14ac:dyDescent="0.25">
      <c r="A949" s="62"/>
      <c r="B949" s="60"/>
      <c r="C949" s="61"/>
      <c r="D949" s="60"/>
    </row>
    <row r="950" spans="1:4" x14ac:dyDescent="0.25">
      <c r="A950" s="62"/>
      <c r="B950" s="60"/>
      <c r="C950" s="61"/>
      <c r="D950" s="60"/>
    </row>
    <row r="951" spans="1:4" x14ac:dyDescent="0.25">
      <c r="A951" s="62"/>
      <c r="B951" s="60"/>
      <c r="C951" s="61"/>
      <c r="D951" s="60"/>
    </row>
    <row r="952" spans="1:4" x14ac:dyDescent="0.25">
      <c r="A952" s="62"/>
      <c r="B952" s="60"/>
      <c r="C952" s="61"/>
      <c r="D952" s="60"/>
    </row>
    <row r="953" spans="1:4" x14ac:dyDescent="0.25">
      <c r="A953" s="62"/>
      <c r="B953" s="60"/>
      <c r="C953" s="61"/>
      <c r="D953" s="60"/>
    </row>
    <row r="954" spans="1:4" x14ac:dyDescent="0.25">
      <c r="A954" s="62"/>
      <c r="B954" s="60"/>
      <c r="C954" s="61"/>
      <c r="D954" s="60"/>
    </row>
    <row r="955" spans="1:4" x14ac:dyDescent="0.25">
      <c r="A955" s="62"/>
      <c r="B955" s="60"/>
      <c r="C955" s="61"/>
      <c r="D955" s="60"/>
    </row>
    <row r="956" spans="1:4" x14ac:dyDescent="0.25">
      <c r="A956" s="62"/>
      <c r="B956" s="60"/>
      <c r="C956" s="61"/>
      <c r="D956" s="60"/>
    </row>
    <row r="957" spans="1:4" x14ac:dyDescent="0.25">
      <c r="A957" s="62"/>
      <c r="B957" s="60"/>
      <c r="C957" s="61"/>
      <c r="D957" s="60"/>
    </row>
    <row r="958" spans="1:4" x14ac:dyDescent="0.25">
      <c r="A958" s="62"/>
      <c r="B958" s="60"/>
      <c r="C958" s="61"/>
      <c r="D958" s="60"/>
    </row>
    <row r="959" spans="1:4" x14ac:dyDescent="0.25">
      <c r="A959" s="62"/>
      <c r="B959" s="60"/>
      <c r="C959" s="61"/>
      <c r="D959" s="60"/>
    </row>
    <row r="960" spans="1:4" x14ac:dyDescent="0.25">
      <c r="A960" s="62"/>
      <c r="B960" s="60"/>
      <c r="C960" s="61"/>
      <c r="D960" s="60"/>
    </row>
    <row r="961" spans="1:4" x14ac:dyDescent="0.25">
      <c r="A961" s="62"/>
      <c r="B961" s="60"/>
      <c r="C961" s="61"/>
      <c r="D961" s="60"/>
    </row>
    <row r="962" spans="1:4" x14ac:dyDescent="0.25">
      <c r="A962" s="62"/>
      <c r="B962" s="60"/>
      <c r="C962" s="61"/>
      <c r="D962" s="60"/>
    </row>
    <row r="963" spans="1:4" x14ac:dyDescent="0.25">
      <c r="A963" s="62"/>
      <c r="B963" s="60"/>
      <c r="C963" s="61"/>
      <c r="D963" s="60"/>
    </row>
    <row r="964" spans="1:4" x14ac:dyDescent="0.25">
      <c r="A964" s="62"/>
      <c r="B964" s="60"/>
      <c r="C964" s="61"/>
      <c r="D964" s="60"/>
    </row>
    <row r="965" spans="1:4" x14ac:dyDescent="0.25">
      <c r="A965" s="62"/>
      <c r="B965" s="60"/>
      <c r="C965" s="61"/>
      <c r="D965" s="60"/>
    </row>
    <row r="966" spans="1:4" x14ac:dyDescent="0.25">
      <c r="A966" s="62"/>
      <c r="B966" s="60"/>
      <c r="C966" s="61"/>
      <c r="D966" s="60"/>
    </row>
    <row r="967" spans="1:4" x14ac:dyDescent="0.25">
      <c r="A967" s="62"/>
      <c r="B967" s="60"/>
      <c r="C967" s="61"/>
      <c r="D967" s="60"/>
    </row>
    <row r="968" spans="1:4" x14ac:dyDescent="0.25">
      <c r="A968" s="62"/>
      <c r="B968" s="60"/>
      <c r="C968" s="61"/>
      <c r="D968" s="60"/>
    </row>
    <row r="969" spans="1:4" x14ac:dyDescent="0.25">
      <c r="A969" s="62"/>
      <c r="B969" s="60"/>
      <c r="C969" s="61"/>
      <c r="D969" s="60"/>
    </row>
    <row r="970" spans="1:4" x14ac:dyDescent="0.25">
      <c r="A970" s="62"/>
      <c r="B970" s="60"/>
      <c r="C970" s="61"/>
      <c r="D970" s="60"/>
    </row>
    <row r="971" spans="1:4" x14ac:dyDescent="0.25">
      <c r="A971" s="62"/>
      <c r="B971" s="60"/>
      <c r="C971" s="61"/>
      <c r="D971" s="60"/>
    </row>
    <row r="972" spans="1:4" x14ac:dyDescent="0.25">
      <c r="A972" s="62"/>
      <c r="B972" s="60"/>
      <c r="C972" s="61"/>
      <c r="D972" s="60"/>
    </row>
    <row r="973" spans="1:4" x14ac:dyDescent="0.25">
      <c r="A973" s="62"/>
      <c r="B973" s="60"/>
      <c r="C973" s="61"/>
      <c r="D973" s="60"/>
    </row>
    <row r="974" spans="1:4" x14ac:dyDescent="0.25">
      <c r="A974" s="62"/>
      <c r="B974" s="60"/>
      <c r="C974" s="61"/>
      <c r="D974" s="60"/>
    </row>
    <row r="975" spans="1:4" x14ac:dyDescent="0.25">
      <c r="A975" s="62"/>
      <c r="B975" s="60"/>
      <c r="C975" s="61"/>
      <c r="D975" s="60"/>
    </row>
    <row r="976" spans="1:4" x14ac:dyDescent="0.25">
      <c r="A976" s="62"/>
      <c r="B976" s="60"/>
      <c r="C976" s="61"/>
      <c r="D976" s="60"/>
    </row>
    <row r="977" spans="1:4" x14ac:dyDescent="0.25">
      <c r="A977" s="62"/>
      <c r="B977" s="60"/>
      <c r="C977" s="61"/>
      <c r="D977" s="60"/>
    </row>
    <row r="978" spans="1:4" x14ac:dyDescent="0.25">
      <c r="A978" s="62"/>
      <c r="B978" s="60"/>
      <c r="C978" s="61"/>
      <c r="D978" s="60"/>
    </row>
    <row r="979" spans="1:4" x14ac:dyDescent="0.25">
      <c r="A979" s="62"/>
      <c r="B979" s="60"/>
      <c r="C979" s="61"/>
      <c r="D979" s="60"/>
    </row>
    <row r="980" spans="1:4" x14ac:dyDescent="0.25">
      <c r="A980" s="62"/>
      <c r="B980" s="60"/>
      <c r="C980" s="61"/>
      <c r="D980" s="60"/>
    </row>
    <row r="981" spans="1:4" x14ac:dyDescent="0.25">
      <c r="A981" s="62"/>
      <c r="B981" s="60"/>
      <c r="C981" s="61"/>
      <c r="D981" s="60"/>
    </row>
    <row r="982" spans="1:4" x14ac:dyDescent="0.25">
      <c r="A982" s="62"/>
      <c r="B982" s="60"/>
      <c r="C982" s="61"/>
      <c r="D982" s="60"/>
    </row>
    <row r="983" spans="1:4" x14ac:dyDescent="0.25">
      <c r="A983" s="62"/>
      <c r="B983" s="60"/>
      <c r="C983" s="61"/>
      <c r="D983" s="60"/>
    </row>
    <row r="984" spans="1:4" x14ac:dyDescent="0.25">
      <c r="A984" s="62"/>
      <c r="B984" s="60"/>
      <c r="C984" s="61"/>
      <c r="D984" s="60"/>
    </row>
    <row r="985" spans="1:4" x14ac:dyDescent="0.25">
      <c r="A985" s="62"/>
      <c r="B985" s="60"/>
      <c r="C985" s="61"/>
      <c r="D985" s="60"/>
    </row>
    <row r="986" spans="1:4" x14ac:dyDescent="0.25">
      <c r="A986" s="62"/>
      <c r="B986" s="60"/>
      <c r="C986" s="61"/>
      <c r="D986" s="60"/>
    </row>
    <row r="987" spans="1:4" x14ac:dyDescent="0.25">
      <c r="A987" s="62"/>
      <c r="B987" s="60"/>
      <c r="C987" s="61"/>
      <c r="D987" s="60"/>
    </row>
    <row r="988" spans="1:4" x14ac:dyDescent="0.25">
      <c r="A988" s="62"/>
      <c r="B988" s="60"/>
      <c r="C988" s="61"/>
      <c r="D988" s="60"/>
    </row>
    <row r="989" spans="1:4" x14ac:dyDescent="0.25">
      <c r="A989" s="62"/>
      <c r="B989" s="60"/>
      <c r="C989" s="61"/>
      <c r="D989" s="60"/>
    </row>
    <row r="990" spans="1:4" x14ac:dyDescent="0.25">
      <c r="A990" s="62"/>
      <c r="B990" s="60"/>
      <c r="C990" s="61"/>
      <c r="D990" s="60"/>
    </row>
    <row r="991" spans="1:4" x14ac:dyDescent="0.25">
      <c r="A991" s="62"/>
      <c r="B991" s="60"/>
      <c r="C991" s="61"/>
      <c r="D991" s="60"/>
    </row>
    <row r="992" spans="1:4" x14ac:dyDescent="0.25">
      <c r="A992" s="62"/>
      <c r="B992" s="60"/>
      <c r="C992" s="61"/>
      <c r="D992" s="60"/>
    </row>
    <row r="993" spans="1:4" x14ac:dyDescent="0.25">
      <c r="A993" s="62"/>
      <c r="B993" s="60"/>
      <c r="C993" s="61"/>
      <c r="D993" s="60"/>
    </row>
    <row r="994" spans="1:4" x14ac:dyDescent="0.25">
      <c r="A994" s="62"/>
      <c r="B994" s="60"/>
      <c r="C994" s="61"/>
      <c r="D994" s="60"/>
    </row>
    <row r="995" spans="1:4" x14ac:dyDescent="0.25">
      <c r="A995" s="62"/>
      <c r="B995" s="63"/>
      <c r="C995" s="63"/>
      <c r="D995" s="60"/>
    </row>
    <row r="996" spans="1:4" x14ac:dyDescent="0.25">
      <c r="A996" s="62"/>
      <c r="B996" s="60"/>
      <c r="C996" s="61"/>
      <c r="D996" s="60"/>
    </row>
    <row r="997" spans="1:4" x14ac:dyDescent="0.25">
      <c r="A997" s="62"/>
      <c r="B997" s="60"/>
      <c r="C997" s="61"/>
      <c r="D997" s="60"/>
    </row>
    <row r="998" spans="1:4" x14ac:dyDescent="0.25">
      <c r="A998" s="62"/>
      <c r="B998" s="60"/>
      <c r="C998" s="61"/>
      <c r="D998" s="60"/>
    </row>
    <row r="999" spans="1:4" x14ac:dyDescent="0.25">
      <c r="A999" s="62"/>
      <c r="B999" s="60"/>
      <c r="C999" s="61"/>
      <c r="D999" s="60"/>
    </row>
    <row r="1000" spans="1:4" x14ac:dyDescent="0.25">
      <c r="A1000" s="62"/>
      <c r="B1000" s="60"/>
      <c r="C1000" s="61"/>
      <c r="D1000" s="60"/>
    </row>
    <row r="1001" spans="1:4" x14ac:dyDescent="0.25">
      <c r="A1001" s="62"/>
      <c r="B1001" s="60"/>
      <c r="C1001" s="61"/>
      <c r="D1001" s="60"/>
    </row>
    <row r="1002" spans="1:4" x14ac:dyDescent="0.25">
      <c r="A1002" s="62"/>
      <c r="B1002" s="60"/>
      <c r="C1002" s="61"/>
      <c r="D1002" s="60"/>
    </row>
    <row r="1003" spans="1:4" x14ac:dyDescent="0.25">
      <c r="A1003" s="62"/>
      <c r="B1003" s="60"/>
      <c r="C1003" s="61"/>
      <c r="D1003" s="60"/>
    </row>
    <row r="1004" spans="1:4" x14ac:dyDescent="0.25">
      <c r="A1004" s="62"/>
      <c r="B1004" s="63"/>
      <c r="C1004" s="63"/>
      <c r="D1004" s="60"/>
    </row>
    <row r="1005" spans="1:4" x14ac:dyDescent="0.25">
      <c r="A1005" s="62"/>
      <c r="B1005" s="60"/>
      <c r="C1005" s="61"/>
      <c r="D1005" s="60"/>
    </row>
    <row r="1006" spans="1:4" x14ac:dyDescent="0.25">
      <c r="A1006" s="62"/>
      <c r="B1006" s="60"/>
      <c r="C1006" s="61"/>
      <c r="D1006" s="60"/>
    </row>
    <row r="1007" spans="1:4" x14ac:dyDescent="0.25">
      <c r="A1007" s="62"/>
      <c r="B1007" s="60"/>
      <c r="C1007" s="61"/>
      <c r="D1007" s="60"/>
    </row>
    <row r="1008" spans="1:4" x14ac:dyDescent="0.25">
      <c r="A1008" s="62"/>
      <c r="B1008" s="60"/>
      <c r="C1008" s="61"/>
      <c r="D1008" s="60"/>
    </row>
    <row r="1009" spans="1:4" x14ac:dyDescent="0.25">
      <c r="A1009" s="62"/>
      <c r="B1009" s="60"/>
      <c r="C1009" s="61"/>
      <c r="D1009" s="60"/>
    </row>
    <row r="1010" spans="1:4" x14ac:dyDescent="0.25">
      <c r="A1010" s="62"/>
      <c r="B1010" s="60"/>
      <c r="C1010" s="61"/>
      <c r="D1010" s="60"/>
    </row>
    <row r="1011" spans="1:4" x14ac:dyDescent="0.25">
      <c r="A1011" s="62"/>
      <c r="B1011" s="60"/>
      <c r="C1011" s="61"/>
      <c r="D1011" s="60"/>
    </row>
    <row r="1012" spans="1:4" x14ac:dyDescent="0.25">
      <c r="A1012" s="62"/>
      <c r="B1012" s="60"/>
      <c r="C1012" s="61"/>
      <c r="D1012" s="60"/>
    </row>
    <row r="1013" spans="1:4" x14ac:dyDescent="0.25">
      <c r="A1013" s="62"/>
      <c r="B1013" s="60"/>
      <c r="C1013" s="61"/>
      <c r="D1013" s="60"/>
    </row>
    <row r="1014" spans="1:4" x14ac:dyDescent="0.25">
      <c r="A1014" s="62"/>
      <c r="B1014" s="60"/>
      <c r="C1014" s="61"/>
      <c r="D1014" s="60"/>
    </row>
    <row r="1015" spans="1:4" x14ac:dyDescent="0.25">
      <c r="A1015" s="62"/>
      <c r="B1015" s="60"/>
      <c r="C1015" s="61"/>
      <c r="D1015" s="60"/>
    </row>
    <row r="1016" spans="1:4" x14ac:dyDescent="0.25">
      <c r="A1016" s="62"/>
      <c r="B1016" s="60"/>
      <c r="C1016" s="61"/>
      <c r="D1016" s="60"/>
    </row>
    <row r="1017" spans="1:4" x14ac:dyDescent="0.25">
      <c r="A1017" s="62"/>
      <c r="B1017" s="60"/>
      <c r="C1017" s="61"/>
      <c r="D1017" s="60"/>
    </row>
    <row r="1018" spans="1:4" x14ac:dyDescent="0.25">
      <c r="A1018" s="62"/>
      <c r="B1018" s="60"/>
      <c r="C1018" s="61"/>
      <c r="D1018" s="60"/>
    </row>
    <row r="1019" spans="1:4" x14ac:dyDescent="0.25">
      <c r="A1019" s="62"/>
      <c r="B1019" s="63"/>
      <c r="C1019" s="63"/>
      <c r="D1019" s="60"/>
    </row>
    <row r="1020" spans="1:4" x14ac:dyDescent="0.25">
      <c r="A1020" s="62"/>
      <c r="B1020" s="60"/>
      <c r="C1020" s="61"/>
      <c r="D1020" s="60"/>
    </row>
    <row r="1021" spans="1:4" x14ac:dyDescent="0.25">
      <c r="A1021" s="62"/>
      <c r="B1021" s="60"/>
      <c r="C1021" s="61"/>
      <c r="D1021" s="60"/>
    </row>
    <row r="1022" spans="1:4" x14ac:dyDescent="0.25">
      <c r="A1022" s="62"/>
      <c r="B1022" s="60"/>
      <c r="C1022" s="61"/>
      <c r="D1022" s="60"/>
    </row>
    <row r="1023" spans="1:4" x14ac:dyDescent="0.25">
      <c r="A1023" s="62"/>
      <c r="B1023" s="60"/>
      <c r="C1023" s="61"/>
      <c r="D1023" s="60"/>
    </row>
    <row r="1024" spans="1:4" x14ac:dyDescent="0.25">
      <c r="A1024" s="62"/>
      <c r="B1024" s="60"/>
      <c r="C1024" s="61"/>
      <c r="D1024" s="60"/>
    </row>
    <row r="1025" spans="1:4" x14ac:dyDescent="0.25">
      <c r="A1025" s="62"/>
      <c r="B1025" s="60"/>
      <c r="C1025" s="61"/>
      <c r="D1025" s="60"/>
    </row>
    <row r="1026" spans="1:4" x14ac:dyDescent="0.25">
      <c r="A1026" s="62"/>
      <c r="B1026" s="60"/>
      <c r="C1026" s="61"/>
      <c r="D1026" s="60"/>
    </row>
    <row r="1027" spans="1:4" x14ac:dyDescent="0.25">
      <c r="A1027" s="62"/>
      <c r="B1027" s="60"/>
      <c r="C1027" s="61"/>
      <c r="D1027" s="60"/>
    </row>
    <row r="1028" spans="1:4" x14ac:dyDescent="0.25">
      <c r="A1028" s="62"/>
      <c r="B1028" s="60"/>
      <c r="C1028" s="61"/>
      <c r="D1028" s="60"/>
    </row>
    <row r="1029" spans="1:4" x14ac:dyDescent="0.25">
      <c r="A1029" s="62"/>
      <c r="B1029" s="60"/>
      <c r="C1029" s="61"/>
      <c r="D1029" s="60"/>
    </row>
    <row r="1030" spans="1:4" x14ac:dyDescent="0.25">
      <c r="A1030" s="62"/>
      <c r="B1030" s="60"/>
      <c r="C1030" s="61"/>
      <c r="D1030" s="60"/>
    </row>
    <row r="1031" spans="1:4" x14ac:dyDescent="0.25">
      <c r="A1031" s="62"/>
      <c r="B1031" s="60"/>
      <c r="C1031" s="61"/>
      <c r="D1031" s="60"/>
    </row>
    <row r="1032" spans="1:4" x14ac:dyDescent="0.25">
      <c r="A1032" s="62"/>
      <c r="B1032" s="60"/>
      <c r="C1032" s="61"/>
      <c r="D1032" s="60"/>
    </row>
    <row r="1033" spans="1:4" x14ac:dyDescent="0.25">
      <c r="A1033" s="62"/>
      <c r="B1033" s="60"/>
      <c r="C1033" s="61"/>
      <c r="D1033" s="60"/>
    </row>
    <row r="1034" spans="1:4" x14ac:dyDescent="0.25">
      <c r="A1034" s="62"/>
      <c r="B1034" s="60"/>
      <c r="C1034" s="61"/>
      <c r="D1034" s="60"/>
    </row>
    <row r="1035" spans="1:4" x14ac:dyDescent="0.25">
      <c r="A1035" s="62"/>
      <c r="B1035" s="60"/>
      <c r="C1035" s="61"/>
      <c r="D1035" s="60"/>
    </row>
    <row r="1036" spans="1:4" x14ac:dyDescent="0.25">
      <c r="A1036" s="62"/>
      <c r="B1036" s="60"/>
      <c r="C1036" s="61"/>
      <c r="D1036" s="60"/>
    </row>
    <row r="1037" spans="1:4" x14ac:dyDescent="0.25">
      <c r="A1037" s="62"/>
      <c r="B1037" s="60"/>
      <c r="C1037" s="61"/>
      <c r="D1037" s="60"/>
    </row>
    <row r="1038" spans="1:4" x14ac:dyDescent="0.25">
      <c r="A1038" s="62"/>
      <c r="B1038" s="60"/>
      <c r="C1038" s="61"/>
      <c r="D1038" s="60"/>
    </row>
    <row r="1039" spans="1:4" x14ac:dyDescent="0.25">
      <c r="A1039" s="62"/>
      <c r="B1039" s="60"/>
      <c r="C1039" s="61"/>
      <c r="D1039" s="60"/>
    </row>
    <row r="1040" spans="1:4" x14ac:dyDescent="0.25">
      <c r="A1040" s="62"/>
      <c r="B1040" s="60"/>
      <c r="C1040" s="61"/>
      <c r="D1040" s="60"/>
    </row>
    <row r="1041" spans="1:4" x14ac:dyDescent="0.25">
      <c r="A1041" s="62"/>
      <c r="B1041" s="60"/>
      <c r="C1041" s="61"/>
      <c r="D1041" s="60"/>
    </row>
    <row r="1042" spans="1:4" x14ac:dyDescent="0.25">
      <c r="A1042" s="62"/>
      <c r="B1042" s="60"/>
      <c r="C1042" s="61"/>
      <c r="D1042" s="60"/>
    </row>
    <row r="1043" spans="1:4" x14ac:dyDescent="0.25">
      <c r="A1043" s="62"/>
      <c r="B1043" s="60"/>
      <c r="C1043" s="61"/>
      <c r="D1043" s="60"/>
    </row>
    <row r="1044" spans="1:4" x14ac:dyDescent="0.25">
      <c r="A1044" s="62"/>
      <c r="B1044" s="63"/>
      <c r="C1044" s="63"/>
      <c r="D1044" s="60"/>
    </row>
    <row r="1045" spans="1:4" x14ac:dyDescent="0.25">
      <c r="A1045" s="62"/>
      <c r="B1045" s="60"/>
      <c r="C1045" s="61"/>
      <c r="D1045" s="60"/>
    </row>
    <row r="1046" spans="1:4" x14ac:dyDescent="0.25">
      <c r="A1046" s="62"/>
      <c r="B1046" s="60"/>
      <c r="C1046" s="61"/>
      <c r="D1046" s="60"/>
    </row>
    <row r="1047" spans="1:4" x14ac:dyDescent="0.25">
      <c r="A1047" s="62"/>
      <c r="B1047" s="60"/>
      <c r="C1047" s="61"/>
      <c r="D1047" s="60"/>
    </row>
    <row r="1048" spans="1:4" x14ac:dyDescent="0.25">
      <c r="A1048" s="62"/>
      <c r="B1048" s="60"/>
      <c r="C1048" s="61"/>
      <c r="D1048" s="60"/>
    </row>
    <row r="1049" spans="1:4" x14ac:dyDescent="0.25">
      <c r="A1049" s="62"/>
      <c r="B1049" s="60"/>
      <c r="C1049" s="61"/>
      <c r="D1049" s="60"/>
    </row>
    <row r="1050" spans="1:4" x14ac:dyDescent="0.25">
      <c r="A1050" s="62"/>
      <c r="B1050" s="60"/>
      <c r="C1050" s="61"/>
      <c r="D1050" s="60"/>
    </row>
    <row r="1051" spans="1:4" x14ac:dyDescent="0.25">
      <c r="A1051" s="62"/>
      <c r="B1051" s="60"/>
      <c r="C1051" s="61"/>
      <c r="D1051" s="60"/>
    </row>
    <row r="1052" spans="1:4" x14ac:dyDescent="0.25">
      <c r="A1052" s="62"/>
      <c r="B1052" s="60"/>
      <c r="C1052" s="61"/>
      <c r="D1052" s="60"/>
    </row>
    <row r="1053" spans="1:4" x14ac:dyDescent="0.25">
      <c r="A1053" s="62"/>
      <c r="B1053" s="60"/>
      <c r="C1053" s="61"/>
      <c r="D1053" s="60"/>
    </row>
    <row r="1054" spans="1:4" x14ac:dyDescent="0.25">
      <c r="A1054" s="62"/>
      <c r="B1054" s="60"/>
      <c r="C1054" s="61"/>
      <c r="D1054" s="60"/>
    </row>
    <row r="1055" spans="1:4" x14ac:dyDescent="0.25">
      <c r="A1055" s="62"/>
      <c r="B1055" s="60"/>
      <c r="C1055" s="61"/>
      <c r="D1055" s="60"/>
    </row>
    <row r="1056" spans="1:4" x14ac:dyDescent="0.25">
      <c r="A1056" s="62"/>
      <c r="B1056" s="63"/>
      <c r="C1056" s="63"/>
      <c r="D1056" s="60"/>
    </row>
    <row r="1057" spans="1:4" x14ac:dyDescent="0.25">
      <c r="A1057" s="62"/>
      <c r="B1057" s="60"/>
      <c r="C1057" s="61"/>
      <c r="D1057" s="60"/>
    </row>
    <row r="1058" spans="1:4" x14ac:dyDescent="0.25">
      <c r="A1058" s="62"/>
      <c r="B1058" s="60"/>
      <c r="C1058" s="61"/>
      <c r="D1058" s="60"/>
    </row>
    <row r="1059" spans="1:4" x14ac:dyDescent="0.25">
      <c r="A1059" s="62"/>
      <c r="B1059" s="60"/>
      <c r="C1059" s="61"/>
      <c r="D1059" s="60"/>
    </row>
    <row r="1060" spans="1:4" x14ac:dyDescent="0.25">
      <c r="A1060" s="62"/>
      <c r="B1060" s="63"/>
      <c r="C1060" s="63"/>
      <c r="D1060" s="60"/>
    </row>
    <row r="1061" spans="1:4" x14ac:dyDescent="0.25">
      <c r="A1061" s="62"/>
      <c r="B1061" s="60"/>
      <c r="C1061" s="61"/>
      <c r="D1061" s="60"/>
    </row>
    <row r="1062" spans="1:4" x14ac:dyDescent="0.25">
      <c r="A1062" s="62"/>
      <c r="B1062" s="60"/>
      <c r="C1062" s="61"/>
      <c r="D1062" s="60"/>
    </row>
    <row r="1063" spans="1:4" x14ac:dyDescent="0.25">
      <c r="A1063" s="62"/>
      <c r="B1063" s="60"/>
      <c r="C1063" s="61"/>
      <c r="D1063" s="60"/>
    </row>
    <row r="1064" spans="1:4" x14ac:dyDescent="0.25">
      <c r="A1064" s="62"/>
      <c r="B1064" s="60"/>
      <c r="C1064" s="61"/>
      <c r="D1064" s="60"/>
    </row>
    <row r="1065" spans="1:4" x14ac:dyDescent="0.25">
      <c r="A1065" s="62"/>
      <c r="B1065" s="60"/>
      <c r="C1065" s="61"/>
      <c r="D1065" s="60"/>
    </row>
    <row r="1066" spans="1:4" x14ac:dyDescent="0.25">
      <c r="A1066" s="62"/>
      <c r="B1066" s="60"/>
      <c r="C1066" s="61"/>
      <c r="D1066" s="60"/>
    </row>
    <row r="1067" spans="1:4" x14ac:dyDescent="0.25">
      <c r="A1067" s="62"/>
      <c r="B1067" s="60"/>
      <c r="C1067" s="61"/>
      <c r="D1067" s="60"/>
    </row>
    <row r="1068" spans="1:4" x14ac:dyDescent="0.25">
      <c r="A1068" s="62"/>
      <c r="B1068" s="60"/>
      <c r="C1068" s="61"/>
      <c r="D1068" s="60"/>
    </row>
    <row r="1069" spans="1:4" x14ac:dyDescent="0.25">
      <c r="A1069" s="62"/>
      <c r="B1069" s="60"/>
      <c r="C1069" s="61"/>
      <c r="D1069" s="60"/>
    </row>
    <row r="1070" spans="1:4" x14ac:dyDescent="0.25">
      <c r="A1070" s="62"/>
      <c r="B1070" s="60"/>
      <c r="C1070" s="61"/>
      <c r="D1070" s="60"/>
    </row>
    <row r="1071" spans="1:4" x14ac:dyDescent="0.25">
      <c r="A1071" s="62"/>
      <c r="B1071" s="60"/>
      <c r="C1071" s="61"/>
      <c r="D1071" s="60"/>
    </row>
    <row r="1072" spans="1:4" x14ac:dyDescent="0.25">
      <c r="A1072" s="62"/>
      <c r="B1072" s="60"/>
      <c r="C1072" s="61"/>
      <c r="D1072" s="60"/>
    </row>
    <row r="1073" spans="1:4" x14ac:dyDescent="0.25">
      <c r="A1073" s="62"/>
      <c r="B1073" s="60"/>
      <c r="C1073" s="61"/>
      <c r="D1073" s="60"/>
    </row>
    <row r="1074" spans="1:4" x14ac:dyDescent="0.25">
      <c r="A1074" s="62"/>
      <c r="B1074" s="60"/>
      <c r="C1074" s="61"/>
      <c r="D1074" s="60"/>
    </row>
    <row r="1075" spans="1:4" x14ac:dyDescent="0.25">
      <c r="A1075" s="62"/>
      <c r="B1075" s="60"/>
      <c r="C1075" s="61"/>
      <c r="D1075" s="60"/>
    </row>
    <row r="1076" spans="1:4" x14ac:dyDescent="0.25">
      <c r="A1076" s="62"/>
      <c r="B1076" s="60"/>
      <c r="C1076" s="61"/>
      <c r="D1076" s="60"/>
    </row>
    <row r="1077" spans="1:4" x14ac:dyDescent="0.25">
      <c r="A1077" s="62"/>
      <c r="B1077" s="60"/>
      <c r="C1077" s="61"/>
      <c r="D1077" s="60"/>
    </row>
    <row r="1078" spans="1:4" x14ac:dyDescent="0.25">
      <c r="A1078" s="62"/>
      <c r="B1078" s="60"/>
      <c r="C1078" s="61"/>
      <c r="D1078" s="60"/>
    </row>
    <row r="1079" spans="1:4" x14ac:dyDescent="0.25">
      <c r="A1079" s="62"/>
      <c r="B1079" s="60"/>
      <c r="C1079" s="61"/>
      <c r="D1079" s="60"/>
    </row>
    <row r="1080" spans="1:4" x14ac:dyDescent="0.25">
      <c r="A1080" s="62"/>
      <c r="B1080" s="60"/>
      <c r="C1080" s="61"/>
      <c r="D1080" s="60"/>
    </row>
    <row r="1081" spans="1:4" x14ac:dyDescent="0.25">
      <c r="A1081" s="62"/>
      <c r="B1081" s="60"/>
      <c r="C1081" s="61"/>
      <c r="D1081" s="60"/>
    </row>
    <row r="1082" spans="1:4" x14ac:dyDescent="0.25">
      <c r="A1082" s="62"/>
      <c r="B1082" s="60"/>
      <c r="C1082" s="61"/>
      <c r="D1082" s="60"/>
    </row>
    <row r="1083" spans="1:4" x14ac:dyDescent="0.25">
      <c r="A1083" s="62"/>
      <c r="B1083" s="60"/>
      <c r="C1083" s="61"/>
      <c r="D1083" s="60"/>
    </row>
    <row r="1084" spans="1:4" x14ac:dyDescent="0.25">
      <c r="A1084" s="62"/>
      <c r="B1084" s="60"/>
      <c r="C1084" s="61"/>
      <c r="D1084" s="60"/>
    </row>
    <row r="1085" spans="1:4" x14ac:dyDescent="0.25">
      <c r="A1085" s="62"/>
      <c r="B1085" s="60"/>
      <c r="C1085" s="61"/>
      <c r="D1085" s="60"/>
    </row>
    <row r="1086" spans="1:4" x14ac:dyDescent="0.25">
      <c r="A1086" s="62"/>
      <c r="B1086" s="60"/>
      <c r="C1086" s="61"/>
      <c r="D1086" s="60"/>
    </row>
    <row r="1087" spans="1:4" x14ac:dyDescent="0.25">
      <c r="A1087" s="62"/>
      <c r="B1087" s="60"/>
      <c r="C1087" s="61"/>
      <c r="D1087" s="60"/>
    </row>
    <row r="1088" spans="1:4" x14ac:dyDescent="0.25">
      <c r="A1088" s="62"/>
      <c r="B1088" s="60"/>
      <c r="C1088" s="61"/>
      <c r="D1088" s="60"/>
    </row>
    <row r="1089" spans="1:4" x14ac:dyDescent="0.25">
      <c r="A1089" s="62"/>
      <c r="B1089" s="60"/>
      <c r="C1089" s="61"/>
      <c r="D1089" s="60"/>
    </row>
    <row r="1090" spans="1:4" x14ac:dyDescent="0.25">
      <c r="A1090" s="62"/>
      <c r="B1090" s="60"/>
      <c r="C1090" s="61"/>
      <c r="D1090" s="60"/>
    </row>
    <row r="1091" spans="1:4" x14ac:dyDescent="0.25">
      <c r="A1091" s="62"/>
      <c r="B1091" s="60"/>
      <c r="C1091" s="61"/>
      <c r="D1091" s="60"/>
    </row>
    <row r="1092" spans="1:4" x14ac:dyDescent="0.25">
      <c r="A1092" s="62"/>
      <c r="B1092" s="60"/>
      <c r="C1092" s="61"/>
      <c r="D1092" s="60"/>
    </row>
    <row r="1093" spans="1:4" x14ac:dyDescent="0.25">
      <c r="A1093" s="62"/>
      <c r="B1093" s="60"/>
      <c r="C1093" s="61"/>
      <c r="D1093" s="60"/>
    </row>
    <row r="1094" spans="1:4" x14ac:dyDescent="0.25">
      <c r="A1094" s="62"/>
      <c r="B1094" s="60"/>
      <c r="C1094" s="61"/>
      <c r="D1094" s="60"/>
    </row>
    <row r="1095" spans="1:4" x14ac:dyDescent="0.25">
      <c r="A1095" s="62"/>
      <c r="B1095" s="60"/>
      <c r="C1095" s="61"/>
      <c r="D1095" s="60"/>
    </row>
    <row r="1096" spans="1:4" x14ac:dyDescent="0.25">
      <c r="A1096" s="62"/>
      <c r="B1096" s="60"/>
      <c r="C1096" s="61"/>
      <c r="D1096" s="60"/>
    </row>
    <row r="1097" spans="1:4" x14ac:dyDescent="0.25">
      <c r="A1097" s="62"/>
      <c r="B1097" s="60"/>
      <c r="C1097" s="61"/>
      <c r="D1097" s="60"/>
    </row>
    <row r="1098" spans="1:4" x14ac:dyDescent="0.25">
      <c r="A1098" s="62"/>
      <c r="B1098" s="60"/>
      <c r="C1098" s="61"/>
      <c r="D1098" s="60"/>
    </row>
    <row r="1099" spans="1:4" x14ac:dyDescent="0.25">
      <c r="A1099" s="62"/>
      <c r="B1099" s="60"/>
      <c r="C1099" s="61"/>
      <c r="D1099" s="60"/>
    </row>
    <row r="1100" spans="1:4" x14ac:dyDescent="0.25">
      <c r="A1100" s="62"/>
      <c r="B1100" s="60"/>
      <c r="C1100" s="61"/>
      <c r="D1100" s="60"/>
    </row>
    <row r="1101" spans="1:4" x14ac:dyDescent="0.25">
      <c r="A1101" s="62"/>
      <c r="B1101" s="60"/>
      <c r="C1101" s="61"/>
      <c r="D1101" s="60"/>
    </row>
    <row r="1102" spans="1:4" x14ac:dyDescent="0.25">
      <c r="A1102" s="62"/>
      <c r="B1102" s="60"/>
      <c r="C1102" s="61"/>
      <c r="D1102" s="60"/>
    </row>
    <row r="1103" spans="1:4" x14ac:dyDescent="0.25">
      <c r="A1103" s="62"/>
      <c r="B1103" s="60"/>
      <c r="C1103" s="61"/>
      <c r="D1103" s="60"/>
    </row>
    <row r="1104" spans="1:4" x14ac:dyDescent="0.25">
      <c r="A1104" s="62"/>
      <c r="B1104" s="60"/>
      <c r="C1104" s="61"/>
      <c r="D1104" s="60"/>
    </row>
    <row r="1105" spans="1:4" x14ac:dyDescent="0.25">
      <c r="A1105" s="62"/>
      <c r="B1105" s="60"/>
      <c r="C1105" s="61"/>
      <c r="D1105" s="60"/>
    </row>
    <row r="1106" spans="1:4" x14ac:dyDescent="0.25">
      <c r="A1106" s="62"/>
      <c r="B1106" s="60"/>
      <c r="C1106" s="61"/>
      <c r="D1106" s="60"/>
    </row>
    <row r="1107" spans="1:4" x14ac:dyDescent="0.25">
      <c r="A1107" s="62"/>
      <c r="B1107" s="60"/>
      <c r="C1107" s="61"/>
      <c r="D1107" s="60"/>
    </row>
    <row r="1108" spans="1:4" x14ac:dyDescent="0.25">
      <c r="A1108" s="62"/>
      <c r="B1108" s="60"/>
      <c r="C1108" s="61"/>
      <c r="D1108" s="60"/>
    </row>
    <row r="1109" spans="1:4" x14ac:dyDescent="0.25">
      <c r="A1109" s="62"/>
      <c r="B1109" s="60"/>
      <c r="C1109" s="61"/>
      <c r="D1109" s="60"/>
    </row>
    <row r="1110" spans="1:4" x14ac:dyDescent="0.25">
      <c r="A1110" s="62"/>
      <c r="B1110" s="60"/>
      <c r="C1110" s="61"/>
      <c r="D1110" s="60"/>
    </row>
    <row r="1111" spans="1:4" x14ac:dyDescent="0.25">
      <c r="A1111" s="62"/>
      <c r="B1111" s="60"/>
      <c r="C1111" s="61"/>
      <c r="D1111" s="60"/>
    </row>
    <row r="1112" spans="1:4" x14ac:dyDescent="0.25">
      <c r="A1112" s="62"/>
      <c r="B1112" s="60"/>
      <c r="C1112" s="61"/>
      <c r="D1112" s="60"/>
    </row>
    <row r="1113" spans="1:4" x14ac:dyDescent="0.25">
      <c r="A1113" s="62"/>
      <c r="B1113" s="60"/>
      <c r="C1113" s="61"/>
      <c r="D1113" s="60"/>
    </row>
    <row r="1114" spans="1:4" x14ac:dyDescent="0.25">
      <c r="A1114" s="62"/>
      <c r="B1114" s="60"/>
      <c r="C1114" s="61"/>
      <c r="D1114" s="60"/>
    </row>
    <row r="1115" spans="1:4" x14ac:dyDescent="0.25">
      <c r="A1115" s="62"/>
      <c r="B1115" s="60"/>
      <c r="C1115" s="61"/>
      <c r="D1115" s="60"/>
    </row>
    <row r="1116" spans="1:4" x14ac:dyDescent="0.25">
      <c r="A1116" s="62"/>
      <c r="B1116" s="60"/>
      <c r="C1116" s="61"/>
      <c r="D1116" s="60"/>
    </row>
    <row r="1117" spans="1:4" x14ac:dyDescent="0.25">
      <c r="A1117" s="62"/>
      <c r="B1117" s="60"/>
      <c r="C1117" s="61"/>
      <c r="D1117" s="60"/>
    </row>
    <row r="1118" spans="1:4" x14ac:dyDescent="0.25">
      <c r="A1118" s="62"/>
      <c r="B1118" s="60"/>
      <c r="C1118" s="61"/>
      <c r="D1118" s="60"/>
    </row>
    <row r="1119" spans="1:4" x14ac:dyDescent="0.25">
      <c r="A1119" s="62"/>
      <c r="B1119" s="60"/>
      <c r="C1119" s="61"/>
      <c r="D1119" s="60"/>
    </row>
    <row r="1120" spans="1:4" x14ac:dyDescent="0.25">
      <c r="A1120" s="62"/>
      <c r="B1120" s="60"/>
      <c r="C1120" s="61"/>
      <c r="D1120" s="60"/>
    </row>
    <row r="1121" spans="1:4" x14ac:dyDescent="0.25">
      <c r="A1121" s="62"/>
      <c r="B1121" s="60"/>
      <c r="C1121" s="61"/>
      <c r="D1121" s="60"/>
    </row>
    <row r="1122" spans="1:4" x14ac:dyDescent="0.25">
      <c r="A1122" s="62"/>
      <c r="B1122" s="60"/>
      <c r="C1122" s="61"/>
      <c r="D1122" s="60"/>
    </row>
    <row r="1123" spans="1:4" x14ac:dyDescent="0.25">
      <c r="A1123" s="62"/>
      <c r="B1123" s="60"/>
      <c r="C1123" s="61"/>
      <c r="D1123" s="60"/>
    </row>
    <row r="1124" spans="1:4" x14ac:dyDescent="0.25">
      <c r="A1124" s="62"/>
      <c r="B1124" s="60"/>
      <c r="C1124" s="61"/>
      <c r="D1124" s="60"/>
    </row>
    <row r="1125" spans="1:4" x14ac:dyDescent="0.25">
      <c r="A1125" s="62"/>
      <c r="B1125" s="60"/>
      <c r="C1125" s="61"/>
      <c r="D1125" s="60"/>
    </row>
    <row r="1126" spans="1:4" x14ac:dyDescent="0.25">
      <c r="A1126" s="62"/>
      <c r="B1126" s="60"/>
      <c r="C1126" s="61"/>
      <c r="D1126" s="60"/>
    </row>
    <row r="1127" spans="1:4" x14ac:dyDescent="0.25">
      <c r="A1127" s="62"/>
      <c r="B1127" s="60"/>
      <c r="C1127" s="61"/>
      <c r="D1127" s="60"/>
    </row>
    <row r="1128" spans="1:4" x14ac:dyDescent="0.25">
      <c r="A1128" s="62"/>
      <c r="B1128" s="60"/>
      <c r="C1128" s="61"/>
      <c r="D1128" s="60"/>
    </row>
    <row r="1129" spans="1:4" x14ac:dyDescent="0.25">
      <c r="A1129" s="62"/>
      <c r="B1129" s="60"/>
      <c r="C1129" s="61"/>
      <c r="D1129" s="60"/>
    </row>
    <row r="1130" spans="1:4" x14ac:dyDescent="0.25">
      <c r="A1130" s="62"/>
      <c r="B1130" s="63"/>
      <c r="C1130" s="63"/>
      <c r="D1130" s="60"/>
    </row>
    <row r="1131" spans="1:4" x14ac:dyDescent="0.25">
      <c r="A1131" s="62"/>
      <c r="B1131" s="60"/>
      <c r="C1131" s="61"/>
      <c r="D1131" s="60"/>
    </row>
    <row r="1132" spans="1:4" x14ac:dyDescent="0.25">
      <c r="A1132" s="62"/>
      <c r="B1132" s="60"/>
      <c r="C1132" s="61"/>
      <c r="D1132" s="60"/>
    </row>
    <row r="1133" spans="1:4" x14ac:dyDescent="0.25">
      <c r="A1133" s="62"/>
      <c r="B1133" s="60"/>
      <c r="C1133" s="61"/>
      <c r="D1133" s="60"/>
    </row>
    <row r="1134" spans="1:4" x14ac:dyDescent="0.25">
      <c r="A1134" s="62"/>
      <c r="B1134" s="60"/>
      <c r="C1134" s="61"/>
      <c r="D1134" s="60"/>
    </row>
    <row r="1135" spans="1:4" x14ac:dyDescent="0.25">
      <c r="A1135" s="62"/>
      <c r="B1135" s="60"/>
      <c r="C1135" s="61"/>
      <c r="D1135" s="60"/>
    </row>
    <row r="1136" spans="1:4" x14ac:dyDescent="0.25">
      <c r="A1136" s="62"/>
      <c r="B1136" s="60"/>
      <c r="C1136" s="61"/>
      <c r="D1136" s="60"/>
    </row>
    <row r="1137" spans="1:4" x14ac:dyDescent="0.25">
      <c r="A1137" s="62"/>
      <c r="B1137" s="60"/>
      <c r="C1137" s="61"/>
      <c r="D1137" s="60"/>
    </row>
    <row r="1138" spans="1:4" x14ac:dyDescent="0.25">
      <c r="A1138" s="62"/>
      <c r="B1138" s="60"/>
      <c r="C1138" s="61"/>
      <c r="D1138" s="60"/>
    </row>
    <row r="1139" spans="1:4" x14ac:dyDescent="0.25">
      <c r="A1139" s="62"/>
      <c r="B1139" s="60"/>
      <c r="C1139" s="61"/>
      <c r="D1139" s="60"/>
    </row>
    <row r="1140" spans="1:4" x14ac:dyDescent="0.25">
      <c r="A1140" s="62"/>
      <c r="B1140" s="60"/>
      <c r="C1140" s="61"/>
      <c r="D1140" s="60"/>
    </row>
    <row r="1141" spans="1:4" x14ac:dyDescent="0.25">
      <c r="A1141" s="62"/>
      <c r="B1141" s="60"/>
      <c r="C1141" s="61"/>
      <c r="D1141" s="60"/>
    </row>
    <row r="1142" spans="1:4" x14ac:dyDescent="0.25">
      <c r="A1142" s="62"/>
      <c r="B1142" s="63"/>
      <c r="C1142" s="63"/>
      <c r="D1142" s="60"/>
    </row>
    <row r="1143" spans="1:4" x14ac:dyDescent="0.25">
      <c r="A1143" s="62"/>
      <c r="B1143" s="63"/>
      <c r="C1143" s="63"/>
      <c r="D1143" s="60"/>
    </row>
    <row r="1144" spans="1:4" x14ac:dyDescent="0.25">
      <c r="A1144" s="62"/>
      <c r="B1144" s="60"/>
      <c r="C1144" s="61"/>
      <c r="D1144" s="60"/>
    </row>
    <row r="1145" spans="1:4" x14ac:dyDescent="0.25">
      <c r="A1145" s="62"/>
      <c r="B1145" s="60"/>
      <c r="C1145" s="61"/>
      <c r="D1145" s="60"/>
    </row>
    <row r="1146" spans="1:4" x14ac:dyDescent="0.25">
      <c r="A1146" s="62"/>
      <c r="B1146" s="60"/>
      <c r="C1146" s="61"/>
      <c r="D1146" s="60"/>
    </row>
    <row r="1147" spans="1:4" x14ac:dyDescent="0.25">
      <c r="A1147" s="62"/>
      <c r="B1147" s="60"/>
      <c r="C1147" s="61"/>
      <c r="D1147" s="60"/>
    </row>
    <row r="1148" spans="1:4" x14ac:dyDescent="0.25">
      <c r="A1148" s="62"/>
      <c r="B1148" s="60"/>
      <c r="C1148" s="61"/>
      <c r="D1148" s="60"/>
    </row>
    <row r="1149" spans="1:4" x14ac:dyDescent="0.25">
      <c r="A1149" s="62"/>
      <c r="B1149" s="60"/>
      <c r="C1149" s="61"/>
      <c r="D1149" s="60"/>
    </row>
    <row r="1150" spans="1:4" x14ac:dyDescent="0.25">
      <c r="A1150" s="62"/>
      <c r="B1150" s="60"/>
      <c r="C1150" s="61"/>
      <c r="D1150" s="60"/>
    </row>
    <row r="1151" spans="1:4" x14ac:dyDescent="0.25">
      <c r="A1151" s="62"/>
      <c r="B1151" s="60"/>
      <c r="C1151" s="61"/>
      <c r="D1151" s="60"/>
    </row>
    <row r="1152" spans="1:4" x14ac:dyDescent="0.25">
      <c r="A1152" s="62"/>
      <c r="B1152" s="60"/>
      <c r="C1152" s="61"/>
      <c r="D1152" s="60"/>
    </row>
    <row r="1153" spans="1:4" x14ac:dyDescent="0.25">
      <c r="A1153" s="62"/>
      <c r="B1153" s="60"/>
      <c r="C1153" s="61"/>
      <c r="D1153" s="60"/>
    </row>
    <row r="1154" spans="1:4" x14ac:dyDescent="0.25">
      <c r="A1154" s="62"/>
      <c r="B1154" s="60"/>
      <c r="C1154" s="61"/>
      <c r="D1154" s="60"/>
    </row>
    <row r="1155" spans="1:4" x14ac:dyDescent="0.25">
      <c r="A1155" s="62"/>
      <c r="B1155" s="60"/>
      <c r="C1155" s="61"/>
      <c r="D1155" s="60"/>
    </row>
    <row r="1156" spans="1:4" x14ac:dyDescent="0.25">
      <c r="A1156" s="62"/>
      <c r="B1156" s="60"/>
      <c r="C1156" s="61"/>
      <c r="D1156" s="60"/>
    </row>
    <row r="1157" spans="1:4" x14ac:dyDescent="0.25">
      <c r="A1157" s="62"/>
      <c r="B1157" s="60"/>
      <c r="C1157" s="61"/>
      <c r="D1157" s="60"/>
    </row>
    <row r="1158" spans="1:4" x14ac:dyDescent="0.25">
      <c r="A1158" s="62"/>
      <c r="B1158" s="60"/>
      <c r="C1158" s="61"/>
      <c r="D1158" s="60"/>
    </row>
    <row r="1159" spans="1:4" x14ac:dyDescent="0.25">
      <c r="A1159" s="62"/>
      <c r="B1159" s="60"/>
      <c r="C1159" s="61"/>
      <c r="D1159" s="60"/>
    </row>
    <row r="1160" spans="1:4" x14ac:dyDescent="0.25">
      <c r="A1160" s="62"/>
      <c r="B1160" s="60"/>
      <c r="C1160" s="61"/>
      <c r="D1160" s="60"/>
    </row>
    <row r="1161" spans="1:4" x14ac:dyDescent="0.25">
      <c r="A1161" s="62"/>
      <c r="B1161" s="60"/>
      <c r="C1161" s="61"/>
      <c r="D1161" s="60"/>
    </row>
    <row r="1162" spans="1:4" x14ac:dyDescent="0.25">
      <c r="A1162" s="62"/>
      <c r="B1162" s="63"/>
      <c r="C1162" s="63"/>
      <c r="D1162" s="60"/>
    </row>
    <row r="1163" spans="1:4" x14ac:dyDescent="0.25">
      <c r="A1163" s="62"/>
      <c r="B1163" s="60"/>
      <c r="C1163" s="61"/>
      <c r="D1163" s="60"/>
    </row>
    <row r="1164" spans="1:4" x14ac:dyDescent="0.25">
      <c r="A1164" s="62"/>
      <c r="B1164" s="60"/>
      <c r="C1164" s="61"/>
      <c r="D1164" s="60"/>
    </row>
    <row r="1165" spans="1:4" x14ac:dyDescent="0.25">
      <c r="A1165" s="62"/>
      <c r="B1165" s="60"/>
      <c r="C1165" s="61"/>
      <c r="D1165" s="60"/>
    </row>
    <row r="1166" spans="1:4" x14ac:dyDescent="0.25">
      <c r="A1166" s="62"/>
      <c r="B1166" s="60"/>
      <c r="C1166" s="61"/>
      <c r="D1166" s="60"/>
    </row>
    <row r="1167" spans="1:4" x14ac:dyDescent="0.25">
      <c r="A1167" s="62"/>
      <c r="B1167" s="60"/>
      <c r="C1167" s="61"/>
      <c r="D1167" s="60"/>
    </row>
    <row r="1168" spans="1:4" x14ac:dyDescent="0.25">
      <c r="A1168" s="62"/>
      <c r="B1168" s="60"/>
      <c r="C1168" s="61"/>
      <c r="D1168" s="60"/>
    </row>
    <row r="1169" spans="1:4" x14ac:dyDescent="0.25">
      <c r="A1169" s="62"/>
      <c r="B1169" s="60"/>
      <c r="C1169" s="61"/>
      <c r="D1169" s="60"/>
    </row>
    <row r="1170" spans="1:4" x14ac:dyDescent="0.25">
      <c r="A1170" s="62"/>
      <c r="B1170" s="60"/>
      <c r="C1170" s="61"/>
      <c r="D1170" s="60"/>
    </row>
    <row r="1171" spans="1:4" x14ac:dyDescent="0.25">
      <c r="A1171" s="62"/>
      <c r="B1171" s="60"/>
      <c r="C1171" s="61"/>
      <c r="D1171" s="60"/>
    </row>
    <row r="1172" spans="1:4" x14ac:dyDescent="0.25">
      <c r="A1172" s="62"/>
      <c r="B1172" s="60"/>
      <c r="C1172" s="61"/>
      <c r="D1172" s="60"/>
    </row>
    <row r="1173" spans="1:4" x14ac:dyDescent="0.25">
      <c r="A1173" s="62"/>
      <c r="B1173" s="60"/>
      <c r="C1173" s="61"/>
      <c r="D1173" s="60"/>
    </row>
    <row r="1174" spans="1:4" x14ac:dyDescent="0.25">
      <c r="A1174" s="62"/>
      <c r="B1174" s="60"/>
      <c r="C1174" s="61"/>
      <c r="D1174" s="60"/>
    </row>
    <row r="1175" spans="1:4" x14ac:dyDescent="0.25">
      <c r="A1175" s="62"/>
      <c r="B1175" s="63"/>
      <c r="C1175" s="63"/>
      <c r="D1175" s="60"/>
    </row>
    <row r="1176" spans="1:4" x14ac:dyDescent="0.25">
      <c r="A1176" s="62"/>
      <c r="B1176" s="60"/>
      <c r="C1176" s="61"/>
      <c r="D1176" s="60"/>
    </row>
    <row r="1177" spans="1:4" x14ac:dyDescent="0.25">
      <c r="A1177" s="62"/>
      <c r="B1177" s="60"/>
      <c r="C1177" s="61"/>
      <c r="D1177" s="60"/>
    </row>
    <row r="1178" spans="1:4" x14ac:dyDescent="0.25">
      <c r="A1178" s="62"/>
      <c r="B1178" s="60"/>
      <c r="C1178" s="61"/>
      <c r="D1178" s="60"/>
    </row>
    <row r="1179" spans="1:4" x14ac:dyDescent="0.25">
      <c r="A1179" s="62"/>
      <c r="B1179" s="60"/>
      <c r="C1179" s="61"/>
      <c r="D1179" s="60"/>
    </row>
    <row r="1180" spans="1:4" x14ac:dyDescent="0.25">
      <c r="A1180" s="62"/>
      <c r="B1180" s="60"/>
      <c r="C1180" s="61"/>
      <c r="D1180" s="60"/>
    </row>
    <row r="1181" spans="1:4" x14ac:dyDescent="0.25">
      <c r="A1181" s="62"/>
      <c r="B1181" s="60"/>
      <c r="C1181" s="61"/>
      <c r="D1181" s="60"/>
    </row>
    <row r="1182" spans="1:4" x14ac:dyDescent="0.25">
      <c r="A1182" s="62"/>
      <c r="B1182" s="60"/>
      <c r="C1182" s="61"/>
      <c r="D1182" s="60"/>
    </row>
    <row r="1183" spans="1:4" x14ac:dyDescent="0.25">
      <c r="A1183" s="62"/>
      <c r="B1183" s="60"/>
      <c r="C1183" s="61"/>
      <c r="D1183" s="60"/>
    </row>
    <row r="1184" spans="1:4" x14ac:dyDescent="0.25">
      <c r="A1184" s="62"/>
      <c r="B1184" s="60"/>
      <c r="C1184" s="61"/>
      <c r="D1184" s="60"/>
    </row>
    <row r="1185" spans="1:4" x14ac:dyDescent="0.25">
      <c r="A1185" s="62"/>
      <c r="B1185" s="60"/>
      <c r="C1185" s="61"/>
      <c r="D1185" s="60"/>
    </row>
    <row r="1186" spans="1:4" x14ac:dyDescent="0.25">
      <c r="A1186" s="62"/>
      <c r="B1186" s="60"/>
      <c r="C1186" s="61"/>
      <c r="D1186" s="60"/>
    </row>
    <row r="1187" spans="1:4" x14ac:dyDescent="0.25">
      <c r="A1187" s="62"/>
      <c r="B1187" s="60"/>
      <c r="C1187" s="61"/>
      <c r="D1187" s="60"/>
    </row>
    <row r="1188" spans="1:4" x14ac:dyDescent="0.25">
      <c r="A1188" s="62"/>
      <c r="B1188" s="60"/>
      <c r="C1188" s="61"/>
      <c r="D1188" s="60"/>
    </row>
    <row r="1189" spans="1:4" x14ac:dyDescent="0.25">
      <c r="A1189" s="62"/>
      <c r="B1189" s="60"/>
      <c r="C1189" s="61"/>
      <c r="D1189" s="60"/>
    </row>
    <row r="1190" spans="1:4" x14ac:dyDescent="0.25">
      <c r="A1190" s="62"/>
      <c r="B1190" s="60"/>
      <c r="C1190" s="61"/>
      <c r="D1190" s="60"/>
    </row>
    <row r="1191" spans="1:4" x14ac:dyDescent="0.25">
      <c r="A1191" s="62"/>
      <c r="B1191" s="60"/>
      <c r="C1191" s="61"/>
      <c r="D1191" s="60"/>
    </row>
    <row r="1192" spans="1:4" x14ac:dyDescent="0.25">
      <c r="A1192" s="62"/>
      <c r="B1192" s="60"/>
      <c r="C1192" s="61"/>
      <c r="D1192" s="60"/>
    </row>
    <row r="1193" spans="1:4" x14ac:dyDescent="0.25">
      <c r="A1193" s="62"/>
      <c r="B1193" s="60"/>
      <c r="C1193" s="61"/>
      <c r="D1193" s="60"/>
    </row>
    <row r="1194" spans="1:4" x14ac:dyDescent="0.25">
      <c r="A1194" s="62"/>
      <c r="B1194" s="60"/>
      <c r="C1194" s="61"/>
      <c r="D1194" s="60"/>
    </row>
    <row r="1195" spans="1:4" x14ac:dyDescent="0.25">
      <c r="A1195" s="62"/>
      <c r="B1195" s="60"/>
      <c r="C1195" s="61"/>
      <c r="D1195" s="60"/>
    </row>
    <row r="1196" spans="1:4" x14ac:dyDescent="0.25">
      <c r="A1196" s="62"/>
      <c r="B1196" s="60"/>
      <c r="C1196" s="61"/>
      <c r="D1196" s="60"/>
    </row>
    <row r="1197" spans="1:4" x14ac:dyDescent="0.25">
      <c r="A1197" s="62"/>
      <c r="B1197" s="60"/>
      <c r="C1197" s="61"/>
      <c r="D1197" s="60"/>
    </row>
    <row r="1198" spans="1:4" x14ac:dyDescent="0.25">
      <c r="A1198" s="62"/>
      <c r="B1198" s="60"/>
      <c r="C1198" s="61"/>
      <c r="D1198" s="60"/>
    </row>
    <row r="1199" spans="1:4" x14ac:dyDescent="0.25">
      <c r="A1199" s="62"/>
      <c r="B1199" s="63"/>
      <c r="C1199" s="63"/>
      <c r="D1199" s="60"/>
    </row>
    <row r="1200" spans="1:4" x14ac:dyDescent="0.25">
      <c r="A1200" s="62"/>
      <c r="B1200" s="60"/>
      <c r="C1200" s="61"/>
      <c r="D1200" s="60"/>
    </row>
    <row r="1201" spans="1:4" x14ac:dyDescent="0.25">
      <c r="A1201" s="62"/>
      <c r="B1201" s="60"/>
      <c r="C1201" s="61"/>
      <c r="D1201" s="60"/>
    </row>
    <row r="1202" spans="1:4" x14ac:dyDescent="0.25">
      <c r="A1202" s="62"/>
      <c r="B1202" s="60"/>
      <c r="C1202" s="61"/>
      <c r="D1202" s="60"/>
    </row>
    <row r="1203" spans="1:4" x14ac:dyDescent="0.25">
      <c r="A1203" s="62"/>
      <c r="B1203" s="60"/>
      <c r="C1203" s="61"/>
      <c r="D1203" s="60"/>
    </row>
    <row r="1204" spans="1:4" x14ac:dyDescent="0.25">
      <c r="A1204" s="62"/>
      <c r="B1204" s="60"/>
      <c r="C1204" s="61"/>
      <c r="D1204" s="60"/>
    </row>
    <row r="1205" spans="1:4" x14ac:dyDescent="0.25">
      <c r="A1205" s="62"/>
      <c r="B1205" s="60"/>
      <c r="C1205" s="61"/>
      <c r="D1205" s="60"/>
    </row>
    <row r="1206" spans="1:4" x14ac:dyDescent="0.25">
      <c r="A1206" s="62"/>
      <c r="B1206" s="60"/>
      <c r="C1206" s="61"/>
      <c r="D1206" s="60"/>
    </row>
    <row r="1207" spans="1:4" x14ac:dyDescent="0.25">
      <c r="A1207" s="62"/>
      <c r="B1207" s="60"/>
      <c r="C1207" s="61"/>
      <c r="D1207" s="60"/>
    </row>
    <row r="1208" spans="1:4" x14ac:dyDescent="0.25">
      <c r="A1208" s="62"/>
      <c r="B1208" s="60"/>
      <c r="C1208" s="61"/>
      <c r="D1208" s="60"/>
    </row>
    <row r="1209" spans="1:4" x14ac:dyDescent="0.25">
      <c r="A1209" s="62"/>
      <c r="B1209" s="60"/>
      <c r="C1209" s="61"/>
      <c r="D1209" s="60"/>
    </row>
    <row r="1210" spans="1:4" x14ac:dyDescent="0.25">
      <c r="A1210" s="62"/>
      <c r="B1210" s="60"/>
      <c r="C1210" s="61"/>
      <c r="D1210" s="60"/>
    </row>
    <row r="1211" spans="1:4" x14ac:dyDescent="0.25">
      <c r="A1211" s="62"/>
      <c r="B1211" s="60"/>
      <c r="C1211" s="61"/>
      <c r="D1211" s="60"/>
    </row>
    <row r="1212" spans="1:4" x14ac:dyDescent="0.25">
      <c r="A1212" s="62"/>
      <c r="B1212" s="60"/>
      <c r="C1212" s="61"/>
      <c r="D1212" s="60"/>
    </row>
    <row r="1213" spans="1:4" x14ac:dyDescent="0.25">
      <c r="A1213" s="62"/>
      <c r="B1213" s="60"/>
      <c r="C1213" s="61"/>
      <c r="D1213" s="60"/>
    </row>
    <row r="1214" spans="1:4" x14ac:dyDescent="0.25">
      <c r="A1214" s="62"/>
      <c r="B1214" s="60"/>
      <c r="C1214" s="61"/>
      <c r="D1214" s="60"/>
    </row>
    <row r="1215" spans="1:4" x14ac:dyDescent="0.25">
      <c r="A1215" s="62"/>
      <c r="B1215" s="60"/>
      <c r="C1215" s="61"/>
      <c r="D1215" s="60"/>
    </row>
    <row r="1216" spans="1:4" x14ac:dyDescent="0.25">
      <c r="A1216" s="62"/>
      <c r="B1216" s="60"/>
      <c r="C1216" s="61"/>
      <c r="D1216" s="60"/>
    </row>
    <row r="1217" spans="1:4" x14ac:dyDescent="0.25">
      <c r="A1217" s="62"/>
      <c r="B1217" s="60"/>
      <c r="C1217" s="61"/>
      <c r="D1217" s="60"/>
    </row>
    <row r="1218" spans="1:4" x14ac:dyDescent="0.25">
      <c r="A1218" s="62"/>
      <c r="B1218" s="60"/>
      <c r="C1218" s="61"/>
      <c r="D1218" s="60"/>
    </row>
    <row r="1219" spans="1:4" x14ac:dyDescent="0.25">
      <c r="A1219" s="62"/>
      <c r="B1219" s="60"/>
      <c r="C1219" s="61"/>
      <c r="D1219" s="60"/>
    </row>
    <row r="1220" spans="1:4" x14ac:dyDescent="0.25">
      <c r="A1220" s="62"/>
      <c r="B1220" s="60"/>
      <c r="C1220" s="61"/>
      <c r="D1220" s="60"/>
    </row>
    <row r="1221" spans="1:4" x14ac:dyDescent="0.25">
      <c r="A1221" s="62"/>
      <c r="B1221" s="60"/>
      <c r="C1221" s="61"/>
      <c r="D1221" s="60"/>
    </row>
    <row r="1222" spans="1:4" x14ac:dyDescent="0.25">
      <c r="A1222" s="62"/>
      <c r="B1222" s="60"/>
      <c r="C1222" s="61"/>
      <c r="D1222" s="60"/>
    </row>
    <row r="1223" spans="1:4" x14ac:dyDescent="0.25">
      <c r="A1223" s="62"/>
      <c r="B1223" s="60"/>
      <c r="C1223" s="61"/>
      <c r="D1223" s="60"/>
    </row>
    <row r="1224" spans="1:4" x14ac:dyDescent="0.25">
      <c r="A1224" s="62"/>
      <c r="B1224" s="60"/>
      <c r="C1224" s="61"/>
      <c r="D1224" s="60"/>
    </row>
    <row r="1225" spans="1:4" x14ac:dyDescent="0.25">
      <c r="A1225" s="62"/>
      <c r="B1225" s="60"/>
      <c r="C1225" s="61"/>
      <c r="D1225" s="60"/>
    </row>
    <row r="1226" spans="1:4" x14ac:dyDescent="0.25">
      <c r="A1226" s="62"/>
      <c r="B1226" s="60"/>
      <c r="C1226" s="61"/>
      <c r="D1226" s="60"/>
    </row>
    <row r="1227" spans="1:4" x14ac:dyDescent="0.25">
      <c r="A1227" s="62"/>
      <c r="B1227" s="60"/>
      <c r="C1227" s="61"/>
      <c r="D1227" s="60"/>
    </row>
    <row r="1228" spans="1:4" x14ac:dyDescent="0.25">
      <c r="A1228" s="62"/>
      <c r="B1228" s="60"/>
      <c r="C1228" s="61"/>
      <c r="D1228" s="60"/>
    </row>
    <row r="1229" spans="1:4" x14ac:dyDescent="0.25">
      <c r="A1229" s="62"/>
      <c r="B1229" s="60"/>
      <c r="C1229" s="61"/>
      <c r="D1229" s="60"/>
    </row>
    <row r="1230" spans="1:4" x14ac:dyDescent="0.25">
      <c r="A1230" s="62"/>
      <c r="B1230" s="60"/>
      <c r="C1230" s="61"/>
      <c r="D1230" s="60"/>
    </row>
    <row r="1231" spans="1:4" x14ac:dyDescent="0.25">
      <c r="A1231" s="62"/>
      <c r="B1231" s="60"/>
      <c r="C1231" s="61"/>
      <c r="D1231" s="60"/>
    </row>
    <row r="1232" spans="1:4" x14ac:dyDescent="0.25">
      <c r="A1232" s="62"/>
      <c r="B1232" s="60"/>
      <c r="C1232" s="61"/>
      <c r="D1232" s="60"/>
    </row>
    <row r="1233" spans="1:4" x14ac:dyDescent="0.25">
      <c r="A1233" s="62"/>
      <c r="B1233" s="60"/>
      <c r="C1233" s="61"/>
      <c r="D1233" s="60"/>
    </row>
    <row r="1234" spans="1:4" x14ac:dyDescent="0.25">
      <c r="A1234" s="62"/>
      <c r="B1234" s="60"/>
      <c r="C1234" s="61"/>
      <c r="D1234" s="60"/>
    </row>
    <row r="1235" spans="1:4" x14ac:dyDescent="0.25">
      <c r="A1235" s="62"/>
      <c r="B1235" s="60"/>
      <c r="C1235" s="61"/>
      <c r="D1235" s="60"/>
    </row>
    <row r="1236" spans="1:4" x14ac:dyDescent="0.25">
      <c r="A1236" s="62"/>
      <c r="B1236" s="60"/>
      <c r="C1236" s="61"/>
      <c r="D1236" s="60"/>
    </row>
    <row r="1237" spans="1:4" x14ac:dyDescent="0.25">
      <c r="A1237" s="62"/>
      <c r="B1237" s="60"/>
      <c r="C1237" s="61"/>
      <c r="D1237" s="60"/>
    </row>
    <row r="1238" spans="1:4" x14ac:dyDescent="0.25">
      <c r="A1238" s="62"/>
      <c r="B1238" s="60"/>
      <c r="C1238" s="61"/>
      <c r="D1238" s="60"/>
    </row>
    <row r="1239" spans="1:4" x14ac:dyDescent="0.25">
      <c r="A1239" s="62"/>
      <c r="B1239" s="60"/>
      <c r="C1239" s="61"/>
      <c r="D1239" s="60"/>
    </row>
    <row r="1240" spans="1:4" x14ac:dyDescent="0.25">
      <c r="A1240" s="62"/>
      <c r="B1240" s="60"/>
      <c r="C1240" s="61"/>
      <c r="D1240" s="60"/>
    </row>
    <row r="1241" spans="1:4" x14ac:dyDescent="0.25">
      <c r="A1241" s="62"/>
      <c r="B1241" s="60"/>
      <c r="C1241" s="61"/>
      <c r="D1241" s="60"/>
    </row>
    <row r="1242" spans="1:4" x14ac:dyDescent="0.25">
      <c r="A1242" s="62"/>
      <c r="B1242" s="60"/>
      <c r="C1242" s="61"/>
      <c r="D1242" s="60"/>
    </row>
    <row r="1243" spans="1:4" x14ac:dyDescent="0.25">
      <c r="A1243" s="62"/>
      <c r="B1243" s="60"/>
      <c r="C1243" s="61"/>
      <c r="D1243" s="60"/>
    </row>
    <row r="1244" spans="1:4" x14ac:dyDescent="0.25">
      <c r="A1244" s="62"/>
      <c r="B1244" s="60"/>
      <c r="C1244" s="61"/>
      <c r="D1244" s="60"/>
    </row>
    <row r="1245" spans="1:4" x14ac:dyDescent="0.25">
      <c r="A1245" s="62"/>
      <c r="B1245" s="60"/>
      <c r="C1245" s="61"/>
      <c r="D1245" s="60"/>
    </row>
    <row r="1246" spans="1:4" x14ac:dyDescent="0.25">
      <c r="A1246" s="62"/>
      <c r="B1246" s="60"/>
      <c r="C1246" s="61"/>
      <c r="D1246" s="60"/>
    </row>
    <row r="1247" spans="1:4" x14ac:dyDescent="0.25">
      <c r="A1247" s="62"/>
      <c r="B1247" s="63"/>
      <c r="C1247" s="63"/>
      <c r="D1247" s="60"/>
    </row>
    <row r="1248" spans="1:4" x14ac:dyDescent="0.25">
      <c r="A1248" s="62"/>
      <c r="B1248" s="60"/>
      <c r="C1248" s="61"/>
      <c r="D1248" s="60"/>
    </row>
    <row r="1249" spans="1:4" x14ac:dyDescent="0.25">
      <c r="A1249" s="62"/>
      <c r="B1249" s="60"/>
      <c r="C1249" s="61"/>
      <c r="D1249" s="60"/>
    </row>
    <row r="1250" spans="1:4" x14ac:dyDescent="0.25">
      <c r="A1250" s="62"/>
      <c r="B1250" s="60"/>
      <c r="C1250" s="61"/>
      <c r="D1250" s="60"/>
    </row>
    <row r="1251" spans="1:4" x14ac:dyDescent="0.25">
      <c r="A1251" s="62"/>
      <c r="B1251" s="60"/>
      <c r="C1251" s="61"/>
      <c r="D1251" s="60"/>
    </row>
    <row r="1252" spans="1:4" x14ac:dyDescent="0.25">
      <c r="A1252" s="62"/>
      <c r="B1252" s="60"/>
      <c r="C1252" s="61"/>
      <c r="D1252" s="60"/>
    </row>
    <row r="1253" spans="1:4" x14ac:dyDescent="0.25">
      <c r="A1253" s="62"/>
      <c r="B1253" s="60"/>
      <c r="C1253" s="61"/>
      <c r="D1253" s="60"/>
    </row>
    <row r="1254" spans="1:4" x14ac:dyDescent="0.25">
      <c r="A1254" s="62"/>
      <c r="B1254" s="60"/>
      <c r="C1254" s="61"/>
      <c r="D1254" s="60"/>
    </row>
    <row r="1255" spans="1:4" x14ac:dyDescent="0.25">
      <c r="A1255" s="62"/>
      <c r="B1255" s="60"/>
      <c r="C1255" s="61"/>
      <c r="D1255" s="60"/>
    </row>
    <row r="1256" spans="1:4" x14ac:dyDescent="0.25">
      <c r="A1256" s="62"/>
      <c r="B1256" s="60"/>
      <c r="C1256" s="61"/>
      <c r="D1256" s="60"/>
    </row>
    <row r="1257" spans="1:4" x14ac:dyDescent="0.25">
      <c r="A1257" s="62"/>
      <c r="B1257" s="63"/>
      <c r="C1257" s="63"/>
      <c r="D1257" s="60"/>
    </row>
    <row r="1258" spans="1:4" x14ac:dyDescent="0.25">
      <c r="A1258" s="62"/>
      <c r="B1258" s="60"/>
      <c r="C1258" s="61"/>
      <c r="D1258" s="60"/>
    </row>
    <row r="1259" spans="1:4" x14ac:dyDescent="0.25">
      <c r="A1259" s="62"/>
      <c r="B1259" s="60"/>
      <c r="C1259" s="61"/>
      <c r="D1259" s="60"/>
    </row>
    <row r="1260" spans="1:4" x14ac:dyDescent="0.25">
      <c r="A1260" s="62"/>
      <c r="B1260" s="60"/>
      <c r="C1260" s="61"/>
      <c r="D1260" s="60"/>
    </row>
    <row r="1261" spans="1:4" x14ac:dyDescent="0.25">
      <c r="A1261" s="62"/>
      <c r="B1261" s="60"/>
      <c r="C1261" s="61"/>
      <c r="D1261" s="60"/>
    </row>
    <row r="1262" spans="1:4" x14ac:dyDescent="0.25">
      <c r="A1262" s="62"/>
      <c r="B1262" s="60"/>
      <c r="C1262" s="61"/>
      <c r="D1262" s="60"/>
    </row>
    <row r="1263" spans="1:4" x14ac:dyDescent="0.25">
      <c r="A1263" s="62"/>
      <c r="B1263" s="60"/>
      <c r="C1263" s="61"/>
      <c r="D1263" s="60"/>
    </row>
    <row r="1264" spans="1:4" x14ac:dyDescent="0.25">
      <c r="A1264" s="62"/>
      <c r="B1264" s="60"/>
      <c r="C1264" s="61"/>
      <c r="D1264" s="60"/>
    </row>
    <row r="1265" spans="1:4" x14ac:dyDescent="0.25">
      <c r="A1265" s="62"/>
      <c r="B1265" s="60"/>
      <c r="C1265" s="61"/>
      <c r="D1265" s="60"/>
    </row>
    <row r="1266" spans="1:4" x14ac:dyDescent="0.25">
      <c r="A1266" s="62"/>
      <c r="B1266" s="60"/>
      <c r="C1266" s="61"/>
      <c r="D1266" s="60"/>
    </row>
    <row r="1267" spans="1:4" x14ac:dyDescent="0.25">
      <c r="A1267" s="62"/>
      <c r="B1267" s="60"/>
      <c r="C1267" s="61"/>
      <c r="D1267" s="60"/>
    </row>
    <row r="1268" spans="1:4" x14ac:dyDescent="0.25">
      <c r="A1268" s="62"/>
      <c r="B1268" s="60"/>
      <c r="C1268" s="61"/>
      <c r="D1268" s="60"/>
    </row>
    <row r="1269" spans="1:4" x14ac:dyDescent="0.25">
      <c r="A1269" s="62"/>
      <c r="B1269" s="60"/>
      <c r="C1269" s="61"/>
      <c r="D1269" s="60"/>
    </row>
    <row r="1270" spans="1:4" x14ac:dyDescent="0.25">
      <c r="A1270" s="62"/>
      <c r="B1270" s="60"/>
      <c r="C1270" s="61"/>
      <c r="D1270" s="60"/>
    </row>
    <row r="1271" spans="1:4" x14ac:dyDescent="0.25">
      <c r="A1271" s="62"/>
      <c r="B1271" s="60"/>
      <c r="C1271" s="61"/>
      <c r="D1271" s="60"/>
    </row>
    <row r="1272" spans="1:4" x14ac:dyDescent="0.25">
      <c r="A1272" s="62"/>
      <c r="B1272" s="63"/>
      <c r="C1272" s="63"/>
      <c r="D1272" s="60"/>
    </row>
    <row r="1273" spans="1:4" x14ac:dyDescent="0.25">
      <c r="A1273" s="62"/>
      <c r="B1273" s="60"/>
      <c r="C1273" s="61"/>
      <c r="D1273" s="60"/>
    </row>
    <row r="1274" spans="1:4" x14ac:dyDescent="0.25">
      <c r="A1274" s="62"/>
      <c r="B1274" s="60"/>
      <c r="C1274" s="61"/>
      <c r="D1274" s="60"/>
    </row>
    <row r="1275" spans="1:4" x14ac:dyDescent="0.25">
      <c r="A1275" s="62"/>
      <c r="B1275" s="60"/>
      <c r="C1275" s="61"/>
      <c r="D1275" s="60"/>
    </row>
    <row r="1276" spans="1:4" x14ac:dyDescent="0.25">
      <c r="A1276" s="62"/>
      <c r="B1276" s="60"/>
      <c r="C1276" s="61"/>
      <c r="D1276" s="60"/>
    </row>
    <row r="1277" spans="1:4" x14ac:dyDescent="0.25">
      <c r="A1277" s="62"/>
      <c r="B1277" s="60"/>
      <c r="C1277" s="61"/>
      <c r="D1277" s="60"/>
    </row>
    <row r="1278" spans="1:4" x14ac:dyDescent="0.25">
      <c r="A1278" s="62"/>
      <c r="B1278" s="60"/>
      <c r="C1278" s="61"/>
      <c r="D1278" s="60"/>
    </row>
    <row r="1279" spans="1:4" x14ac:dyDescent="0.25">
      <c r="A1279" s="62"/>
      <c r="B1279" s="60"/>
      <c r="C1279" s="61"/>
      <c r="D1279" s="60"/>
    </row>
    <row r="1280" spans="1:4" x14ac:dyDescent="0.25">
      <c r="A1280" s="62"/>
      <c r="B1280" s="60"/>
      <c r="C1280" s="61"/>
      <c r="D1280" s="60"/>
    </row>
    <row r="1281" spans="1:4" x14ac:dyDescent="0.25">
      <c r="A1281" s="62"/>
      <c r="B1281" s="60"/>
      <c r="C1281" s="61"/>
      <c r="D1281" s="60"/>
    </row>
    <row r="1282" spans="1:4" x14ac:dyDescent="0.25">
      <c r="A1282" s="62"/>
      <c r="B1282" s="60"/>
      <c r="C1282" s="61"/>
      <c r="D1282" s="60"/>
    </row>
    <row r="1283" spans="1:4" x14ac:dyDescent="0.25">
      <c r="A1283" s="62"/>
      <c r="B1283" s="60"/>
      <c r="C1283" s="61"/>
      <c r="D1283" s="60"/>
    </row>
    <row r="1284" spans="1:4" x14ac:dyDescent="0.25">
      <c r="A1284" s="62"/>
      <c r="B1284" s="60"/>
      <c r="C1284" s="61"/>
      <c r="D1284" s="60"/>
    </row>
    <row r="1285" spans="1:4" x14ac:dyDescent="0.25">
      <c r="A1285" s="62"/>
      <c r="B1285" s="60"/>
      <c r="C1285" s="61"/>
      <c r="D1285" s="60"/>
    </row>
    <row r="1286" spans="1:4" x14ac:dyDescent="0.25">
      <c r="A1286" s="62"/>
      <c r="B1286" s="60"/>
      <c r="C1286" s="61"/>
      <c r="D1286" s="60"/>
    </row>
    <row r="1287" spans="1:4" x14ac:dyDescent="0.25">
      <c r="A1287" s="62"/>
      <c r="B1287" s="60"/>
      <c r="C1287" s="61"/>
      <c r="D1287" s="60"/>
    </row>
    <row r="1288" spans="1:4" x14ac:dyDescent="0.25">
      <c r="A1288" s="62"/>
      <c r="B1288" s="60"/>
      <c r="C1288" s="61"/>
      <c r="D1288" s="60"/>
    </row>
    <row r="1289" spans="1:4" x14ac:dyDescent="0.25">
      <c r="A1289" s="62"/>
      <c r="B1289" s="60"/>
      <c r="C1289" s="61"/>
      <c r="D1289" s="60"/>
    </row>
    <row r="1290" spans="1:4" x14ac:dyDescent="0.25">
      <c r="A1290" s="62"/>
      <c r="B1290" s="60"/>
      <c r="C1290" s="61"/>
      <c r="D1290" s="60"/>
    </row>
    <row r="1291" spans="1:4" x14ac:dyDescent="0.25">
      <c r="A1291" s="62"/>
      <c r="B1291" s="60"/>
      <c r="C1291" s="61"/>
      <c r="D1291" s="60"/>
    </row>
    <row r="1292" spans="1:4" x14ac:dyDescent="0.25">
      <c r="A1292" s="62"/>
      <c r="B1292" s="60"/>
      <c r="C1292" s="61"/>
      <c r="D1292" s="60"/>
    </row>
    <row r="1293" spans="1:4" x14ac:dyDescent="0.25">
      <c r="A1293" s="62"/>
      <c r="B1293" s="60"/>
      <c r="C1293" s="61"/>
      <c r="D1293" s="60"/>
    </row>
    <row r="1294" spans="1:4" x14ac:dyDescent="0.25">
      <c r="A1294" s="62"/>
      <c r="B1294" s="60"/>
      <c r="C1294" s="61"/>
      <c r="D1294" s="60"/>
    </row>
    <row r="1295" spans="1:4" x14ac:dyDescent="0.25">
      <c r="A1295" s="62"/>
      <c r="B1295" s="60"/>
      <c r="C1295" s="61"/>
      <c r="D1295" s="60"/>
    </row>
    <row r="1296" spans="1:4" x14ac:dyDescent="0.25">
      <c r="A1296" s="62"/>
      <c r="B1296" s="60"/>
      <c r="C1296" s="61"/>
      <c r="D1296" s="60"/>
    </row>
    <row r="1297" spans="1:4" x14ac:dyDescent="0.25">
      <c r="A1297" s="62"/>
      <c r="B1297" s="63"/>
      <c r="C1297" s="63"/>
      <c r="D1297" s="60"/>
    </row>
    <row r="1298" spans="1:4" x14ac:dyDescent="0.25">
      <c r="A1298" s="62"/>
      <c r="B1298" s="60"/>
      <c r="C1298" s="61"/>
      <c r="D1298" s="60"/>
    </row>
    <row r="1299" spans="1:4" x14ac:dyDescent="0.25">
      <c r="A1299" s="62"/>
      <c r="B1299" s="60"/>
      <c r="C1299" s="61"/>
      <c r="D1299" s="60"/>
    </row>
    <row r="1300" spans="1:4" x14ac:dyDescent="0.25">
      <c r="A1300" s="62"/>
      <c r="B1300" s="60"/>
      <c r="C1300" s="61"/>
      <c r="D1300" s="60"/>
    </row>
    <row r="1301" spans="1:4" x14ac:dyDescent="0.25">
      <c r="A1301" s="62"/>
      <c r="B1301" s="60"/>
      <c r="C1301" s="61"/>
      <c r="D1301" s="60"/>
    </row>
    <row r="1302" spans="1:4" x14ac:dyDescent="0.25">
      <c r="A1302" s="62"/>
      <c r="B1302" s="60"/>
      <c r="C1302" s="61"/>
      <c r="D1302" s="60"/>
    </row>
    <row r="1303" spans="1:4" x14ac:dyDescent="0.25">
      <c r="A1303" s="62"/>
      <c r="B1303" s="60"/>
      <c r="C1303" s="61"/>
      <c r="D1303" s="60"/>
    </row>
    <row r="1304" spans="1:4" x14ac:dyDescent="0.25">
      <c r="A1304" s="62"/>
      <c r="B1304" s="60"/>
      <c r="C1304" s="61"/>
      <c r="D1304" s="60"/>
    </row>
    <row r="1305" spans="1:4" x14ac:dyDescent="0.25">
      <c r="A1305" s="62"/>
      <c r="B1305" s="60"/>
      <c r="C1305" s="61"/>
      <c r="D1305" s="60"/>
    </row>
    <row r="1306" spans="1:4" x14ac:dyDescent="0.25">
      <c r="A1306" s="62"/>
      <c r="B1306" s="60"/>
      <c r="C1306" s="61"/>
      <c r="D1306" s="60"/>
    </row>
    <row r="1307" spans="1:4" x14ac:dyDescent="0.25">
      <c r="A1307" s="62"/>
      <c r="B1307" s="60"/>
      <c r="C1307" s="61"/>
      <c r="D1307" s="60"/>
    </row>
    <row r="1308" spans="1:4" x14ac:dyDescent="0.25">
      <c r="A1308" s="62"/>
      <c r="B1308" s="60"/>
      <c r="C1308" s="61"/>
      <c r="D1308" s="60"/>
    </row>
    <row r="1309" spans="1:4" x14ac:dyDescent="0.25">
      <c r="A1309" s="62"/>
      <c r="B1309" s="60"/>
      <c r="C1309" s="61"/>
      <c r="D1309" s="60"/>
    </row>
    <row r="1310" spans="1:4" x14ac:dyDescent="0.25">
      <c r="A1310" s="62"/>
      <c r="B1310" s="60"/>
      <c r="C1310" s="61"/>
      <c r="D1310" s="60"/>
    </row>
    <row r="1311" spans="1:4" x14ac:dyDescent="0.25">
      <c r="A1311" s="62"/>
      <c r="B1311" s="60"/>
      <c r="C1311" s="61"/>
      <c r="D1311" s="60"/>
    </row>
    <row r="1312" spans="1:4" x14ac:dyDescent="0.25">
      <c r="A1312" s="62"/>
      <c r="B1312" s="60"/>
      <c r="C1312" s="61"/>
      <c r="D1312" s="60"/>
    </row>
    <row r="1313" spans="1:4" x14ac:dyDescent="0.25">
      <c r="A1313" s="62"/>
      <c r="B1313" s="63"/>
      <c r="C1313" s="63"/>
      <c r="D1313" s="60"/>
    </row>
    <row r="1314" spans="1:4" x14ac:dyDescent="0.25">
      <c r="A1314" s="62"/>
      <c r="B1314" s="60"/>
      <c r="C1314" s="61"/>
      <c r="D1314" s="60"/>
    </row>
    <row r="1315" spans="1:4" x14ac:dyDescent="0.25">
      <c r="A1315" s="62"/>
      <c r="B1315" s="60"/>
      <c r="C1315" s="61"/>
      <c r="D1315" s="60"/>
    </row>
    <row r="1316" spans="1:4" x14ac:dyDescent="0.25">
      <c r="A1316" s="62"/>
      <c r="B1316" s="60"/>
      <c r="C1316" s="61"/>
      <c r="D1316" s="60"/>
    </row>
    <row r="1317" spans="1:4" x14ac:dyDescent="0.25">
      <c r="A1317" s="62"/>
      <c r="B1317" s="60"/>
      <c r="C1317" s="61"/>
      <c r="D1317" s="60"/>
    </row>
    <row r="1318" spans="1:4" x14ac:dyDescent="0.25">
      <c r="A1318" s="62"/>
      <c r="B1318" s="60"/>
      <c r="C1318" s="61"/>
      <c r="D1318" s="60"/>
    </row>
    <row r="1319" spans="1:4" x14ac:dyDescent="0.25">
      <c r="A1319" s="62"/>
      <c r="B1319" s="60"/>
      <c r="C1319" s="61"/>
      <c r="D1319" s="60"/>
    </row>
    <row r="1320" spans="1:4" x14ac:dyDescent="0.25">
      <c r="A1320" s="62"/>
      <c r="B1320" s="60"/>
      <c r="C1320" s="61"/>
      <c r="D1320" s="60"/>
    </row>
    <row r="1321" spans="1:4" x14ac:dyDescent="0.25">
      <c r="A1321" s="62"/>
      <c r="B1321" s="60"/>
      <c r="C1321" s="61"/>
      <c r="D1321" s="60"/>
    </row>
    <row r="1322" spans="1:4" x14ac:dyDescent="0.25">
      <c r="A1322" s="62"/>
      <c r="B1322" s="60"/>
      <c r="C1322" s="61"/>
      <c r="D1322" s="60"/>
    </row>
    <row r="1323" spans="1:4" x14ac:dyDescent="0.25">
      <c r="A1323" s="62"/>
      <c r="B1323" s="60"/>
      <c r="C1323" s="61"/>
      <c r="D1323" s="60"/>
    </row>
    <row r="1324" spans="1:4" x14ac:dyDescent="0.25">
      <c r="A1324" s="62"/>
      <c r="B1324" s="60"/>
      <c r="C1324" s="61"/>
      <c r="D1324" s="60"/>
    </row>
    <row r="1325" spans="1:4" x14ac:dyDescent="0.25">
      <c r="A1325" s="62"/>
      <c r="B1325" s="60"/>
      <c r="C1325" s="61"/>
      <c r="D1325" s="60"/>
    </row>
    <row r="1326" spans="1:4" x14ac:dyDescent="0.25">
      <c r="A1326" s="62"/>
      <c r="B1326" s="60"/>
      <c r="C1326" s="61"/>
      <c r="D1326" s="60"/>
    </row>
    <row r="1327" spans="1:4" x14ac:dyDescent="0.25">
      <c r="A1327" s="62"/>
      <c r="B1327" s="60"/>
      <c r="C1327" s="61"/>
      <c r="D1327" s="60"/>
    </row>
    <row r="1328" spans="1:4" x14ac:dyDescent="0.25">
      <c r="A1328" s="62"/>
      <c r="B1328" s="60"/>
      <c r="C1328" s="61"/>
      <c r="D1328" s="60"/>
    </row>
    <row r="1329" spans="1:4" x14ac:dyDescent="0.25">
      <c r="A1329" s="62"/>
      <c r="B1329" s="60"/>
      <c r="C1329" s="61"/>
      <c r="D1329" s="60"/>
    </row>
    <row r="1330" spans="1:4" x14ac:dyDescent="0.25">
      <c r="A1330" s="62"/>
      <c r="B1330" s="60"/>
      <c r="C1330" s="61"/>
      <c r="D1330" s="60"/>
    </row>
    <row r="1331" spans="1:4" x14ac:dyDescent="0.25">
      <c r="A1331" s="62"/>
      <c r="B1331" s="60"/>
      <c r="C1331" s="61"/>
      <c r="D1331" s="60"/>
    </row>
    <row r="1332" spans="1:4" x14ac:dyDescent="0.25">
      <c r="A1332" s="62"/>
      <c r="B1332" s="60"/>
      <c r="C1332" s="61"/>
      <c r="D1332" s="60"/>
    </row>
    <row r="1333" spans="1:4" x14ac:dyDescent="0.25">
      <c r="A1333" s="62"/>
      <c r="B1333" s="60"/>
      <c r="C1333" s="61"/>
      <c r="D1333" s="60"/>
    </row>
    <row r="1334" spans="1:4" x14ac:dyDescent="0.25">
      <c r="A1334" s="62"/>
      <c r="B1334" s="63"/>
      <c r="C1334" s="63"/>
      <c r="D1334" s="60"/>
    </row>
    <row r="1335" spans="1:4" x14ac:dyDescent="0.25">
      <c r="A1335" s="62"/>
      <c r="B1335" s="60"/>
      <c r="C1335" s="61"/>
      <c r="D1335" s="60"/>
    </row>
    <row r="1336" spans="1:4" x14ac:dyDescent="0.25">
      <c r="A1336" s="62"/>
      <c r="B1336" s="60"/>
      <c r="C1336" s="61"/>
      <c r="D1336" s="60"/>
    </row>
    <row r="1337" spans="1:4" x14ac:dyDescent="0.25">
      <c r="A1337" s="62"/>
      <c r="B1337" s="60"/>
      <c r="C1337" s="61"/>
      <c r="D1337" s="60"/>
    </row>
    <row r="1338" spans="1:4" x14ac:dyDescent="0.25">
      <c r="A1338" s="62"/>
      <c r="B1338" s="60"/>
      <c r="C1338" s="61"/>
      <c r="D1338" s="60"/>
    </row>
    <row r="1339" spans="1:4" x14ac:dyDescent="0.25">
      <c r="A1339" s="62"/>
      <c r="B1339" s="60"/>
      <c r="C1339" s="61"/>
      <c r="D1339" s="60"/>
    </row>
    <row r="1340" spans="1:4" x14ac:dyDescent="0.25">
      <c r="A1340" s="62"/>
      <c r="B1340" s="60"/>
      <c r="C1340" s="61"/>
      <c r="D1340" s="60"/>
    </row>
    <row r="1341" spans="1:4" x14ac:dyDescent="0.25">
      <c r="A1341" s="62"/>
      <c r="B1341" s="60"/>
      <c r="C1341" s="61"/>
      <c r="D1341" s="60"/>
    </row>
    <row r="1342" spans="1:4" x14ac:dyDescent="0.25">
      <c r="A1342" s="62"/>
      <c r="B1342" s="60"/>
      <c r="C1342" s="61"/>
      <c r="D1342" s="60"/>
    </row>
    <row r="1343" spans="1:4" x14ac:dyDescent="0.25">
      <c r="A1343" s="62"/>
      <c r="B1343" s="60"/>
      <c r="C1343" s="61"/>
      <c r="D1343" s="60"/>
    </row>
    <row r="1344" spans="1:4" x14ac:dyDescent="0.25">
      <c r="A1344" s="62"/>
      <c r="B1344" s="60"/>
      <c r="C1344" s="61"/>
      <c r="D1344" s="60"/>
    </row>
    <row r="1345" spans="1:4" x14ac:dyDescent="0.25">
      <c r="A1345" s="62"/>
      <c r="B1345" s="60"/>
      <c r="C1345" s="61"/>
      <c r="D1345" s="60"/>
    </row>
    <row r="1346" spans="1:4" x14ac:dyDescent="0.25">
      <c r="A1346" s="62"/>
      <c r="B1346" s="60"/>
      <c r="C1346" s="61"/>
      <c r="D1346" s="60"/>
    </row>
    <row r="1347" spans="1:4" x14ac:dyDescent="0.25">
      <c r="A1347" s="62"/>
      <c r="B1347" s="60"/>
      <c r="C1347" s="61"/>
      <c r="D1347" s="60"/>
    </row>
    <row r="1348" spans="1:4" x14ac:dyDescent="0.25">
      <c r="A1348" s="62"/>
      <c r="B1348" s="60"/>
      <c r="C1348" s="61"/>
      <c r="D1348" s="60"/>
    </row>
    <row r="1349" spans="1:4" x14ac:dyDescent="0.25">
      <c r="A1349" s="62"/>
      <c r="B1349" s="60"/>
      <c r="C1349" s="61"/>
      <c r="D1349" s="60"/>
    </row>
    <row r="1350" spans="1:4" x14ac:dyDescent="0.25">
      <c r="A1350" s="62"/>
      <c r="B1350" s="60"/>
      <c r="C1350" s="61"/>
      <c r="D1350" s="60"/>
    </row>
    <row r="1351" spans="1:4" x14ac:dyDescent="0.25">
      <c r="A1351" s="62"/>
      <c r="B1351" s="60"/>
      <c r="C1351" s="61"/>
      <c r="D1351" s="60"/>
    </row>
    <row r="1352" spans="1:4" x14ac:dyDescent="0.25">
      <c r="A1352" s="62"/>
      <c r="B1352" s="60"/>
      <c r="C1352" s="61"/>
      <c r="D1352" s="60"/>
    </row>
    <row r="1353" spans="1:4" x14ac:dyDescent="0.25">
      <c r="A1353" s="62"/>
      <c r="B1353" s="60"/>
      <c r="C1353" s="61"/>
      <c r="D1353" s="60"/>
    </row>
    <row r="1354" spans="1:4" x14ac:dyDescent="0.25">
      <c r="A1354" s="62"/>
      <c r="B1354" s="60"/>
      <c r="C1354" s="61"/>
      <c r="D1354" s="60"/>
    </row>
    <row r="1355" spans="1:4" x14ac:dyDescent="0.25">
      <c r="A1355" s="62"/>
      <c r="B1355" s="60"/>
      <c r="C1355" s="61"/>
      <c r="D1355" s="60"/>
    </row>
    <row r="1356" spans="1:4" x14ac:dyDescent="0.25">
      <c r="A1356" s="62"/>
      <c r="B1356" s="60"/>
      <c r="C1356" s="61"/>
      <c r="D1356" s="60"/>
    </row>
    <row r="1357" spans="1:4" x14ac:dyDescent="0.25">
      <c r="A1357" s="62"/>
      <c r="B1357" s="60"/>
      <c r="C1357" s="61"/>
      <c r="D1357" s="60"/>
    </row>
    <row r="1358" spans="1:4" x14ac:dyDescent="0.25">
      <c r="A1358" s="62"/>
      <c r="B1358" s="60"/>
      <c r="C1358" s="61"/>
      <c r="D1358" s="60"/>
    </row>
    <row r="1359" spans="1:4" x14ac:dyDescent="0.25">
      <c r="A1359" s="62"/>
      <c r="B1359" s="60"/>
      <c r="C1359" s="61"/>
      <c r="D1359" s="60"/>
    </row>
    <row r="1360" spans="1:4" x14ac:dyDescent="0.25">
      <c r="A1360" s="62"/>
      <c r="B1360" s="60"/>
      <c r="C1360" s="61"/>
      <c r="D1360" s="60"/>
    </row>
    <row r="1361" spans="1:4" x14ac:dyDescent="0.25">
      <c r="A1361" s="62"/>
      <c r="B1361" s="60"/>
      <c r="C1361" s="61"/>
      <c r="D1361" s="60"/>
    </row>
    <row r="1362" spans="1:4" x14ac:dyDescent="0.25">
      <c r="A1362" s="62"/>
      <c r="B1362" s="60"/>
      <c r="C1362" s="61"/>
      <c r="D1362" s="60"/>
    </row>
    <row r="1363" spans="1:4" x14ac:dyDescent="0.25">
      <c r="A1363" s="62"/>
      <c r="B1363" s="60"/>
      <c r="C1363" s="61"/>
      <c r="D1363" s="60"/>
    </row>
    <row r="1364" spans="1:4" x14ac:dyDescent="0.25">
      <c r="A1364" s="62"/>
      <c r="B1364" s="60"/>
      <c r="C1364" s="61"/>
      <c r="D1364" s="60"/>
    </row>
    <row r="1365" spans="1:4" x14ac:dyDescent="0.25">
      <c r="A1365" s="62"/>
      <c r="B1365" s="60"/>
      <c r="C1365" s="61"/>
      <c r="D1365" s="60"/>
    </row>
    <row r="1366" spans="1:4" x14ac:dyDescent="0.25">
      <c r="A1366" s="62"/>
      <c r="B1366" s="60"/>
      <c r="C1366" s="61"/>
      <c r="D1366" s="60"/>
    </row>
    <row r="1367" spans="1:4" x14ac:dyDescent="0.25">
      <c r="A1367" s="62"/>
      <c r="B1367" s="60"/>
      <c r="C1367" s="61"/>
      <c r="D1367" s="60"/>
    </row>
    <row r="1368" spans="1:4" x14ac:dyDescent="0.25">
      <c r="A1368" s="62"/>
      <c r="B1368" s="60"/>
      <c r="C1368" s="61"/>
      <c r="D1368" s="60"/>
    </row>
    <row r="1369" spans="1:4" x14ac:dyDescent="0.25">
      <c r="A1369" s="62"/>
      <c r="B1369" s="60"/>
      <c r="C1369" s="61"/>
      <c r="D1369" s="60"/>
    </row>
    <row r="1370" spans="1:4" x14ac:dyDescent="0.25">
      <c r="A1370" s="62"/>
      <c r="B1370" s="60"/>
      <c r="C1370" s="61"/>
      <c r="D1370" s="60"/>
    </row>
    <row r="1371" spans="1:4" x14ac:dyDescent="0.25">
      <c r="A1371" s="62"/>
      <c r="B1371" s="60"/>
      <c r="C1371" s="61"/>
      <c r="D1371" s="60"/>
    </row>
    <row r="1372" spans="1:4" x14ac:dyDescent="0.25">
      <c r="A1372" s="62"/>
      <c r="B1372" s="60"/>
      <c r="C1372" s="61"/>
      <c r="D1372" s="60"/>
    </row>
    <row r="1373" spans="1:4" x14ac:dyDescent="0.25">
      <c r="A1373" s="62"/>
      <c r="B1373" s="60"/>
      <c r="C1373" s="61"/>
      <c r="D1373" s="60"/>
    </row>
    <row r="1374" spans="1:4" x14ac:dyDescent="0.25">
      <c r="A1374" s="62"/>
      <c r="B1374" s="60"/>
      <c r="C1374" s="61"/>
      <c r="D1374" s="60"/>
    </row>
    <row r="1375" spans="1:4" x14ac:dyDescent="0.25">
      <c r="A1375" s="62"/>
      <c r="B1375" s="60"/>
      <c r="C1375" s="61"/>
      <c r="D1375" s="60"/>
    </row>
    <row r="1376" spans="1:4" x14ac:dyDescent="0.25">
      <c r="A1376" s="62"/>
      <c r="B1376" s="60"/>
      <c r="C1376" s="61"/>
      <c r="D1376" s="60"/>
    </row>
    <row r="1377" spans="1:4" x14ac:dyDescent="0.25">
      <c r="A1377" s="62"/>
      <c r="B1377" s="60"/>
      <c r="C1377" s="61"/>
      <c r="D1377" s="60"/>
    </row>
    <row r="1378" spans="1:4" x14ac:dyDescent="0.25">
      <c r="A1378" s="62"/>
      <c r="B1378" s="60"/>
      <c r="C1378" s="61"/>
      <c r="D1378" s="60"/>
    </row>
    <row r="1379" spans="1:4" x14ac:dyDescent="0.25">
      <c r="A1379" s="62"/>
      <c r="B1379" s="60"/>
      <c r="C1379" s="61"/>
      <c r="D1379" s="60"/>
    </row>
    <row r="1380" spans="1:4" x14ac:dyDescent="0.25">
      <c r="A1380" s="62"/>
      <c r="B1380" s="60"/>
      <c r="C1380" s="61"/>
      <c r="D1380" s="60"/>
    </row>
    <row r="1381" spans="1:4" x14ac:dyDescent="0.25">
      <c r="A1381" s="62"/>
      <c r="B1381" s="60"/>
      <c r="C1381" s="61"/>
      <c r="D1381" s="60"/>
    </row>
    <row r="1382" spans="1:4" x14ac:dyDescent="0.25">
      <c r="A1382" s="62"/>
      <c r="B1382" s="60"/>
      <c r="C1382" s="61"/>
      <c r="D1382" s="60"/>
    </row>
    <row r="1383" spans="1:4" x14ac:dyDescent="0.25">
      <c r="A1383" s="62"/>
      <c r="B1383" s="63"/>
      <c r="C1383" s="63"/>
      <c r="D1383" s="60"/>
    </row>
    <row r="1384" spans="1:4" x14ac:dyDescent="0.25">
      <c r="A1384" s="62"/>
      <c r="B1384" s="60"/>
      <c r="C1384" s="61"/>
      <c r="D1384" s="60"/>
    </row>
    <row r="1385" spans="1:4" x14ac:dyDescent="0.25">
      <c r="A1385" s="62"/>
      <c r="B1385" s="60"/>
      <c r="C1385" s="61"/>
      <c r="D1385" s="60"/>
    </row>
    <row r="1386" spans="1:4" x14ac:dyDescent="0.25">
      <c r="A1386" s="62"/>
      <c r="B1386" s="60"/>
      <c r="C1386" s="61"/>
      <c r="D1386" s="60"/>
    </row>
    <row r="1387" spans="1:4" x14ac:dyDescent="0.25">
      <c r="A1387" s="62"/>
      <c r="B1387" s="60"/>
      <c r="C1387" s="61"/>
      <c r="D1387" s="60"/>
    </row>
    <row r="1388" spans="1:4" x14ac:dyDescent="0.25">
      <c r="A1388" s="62"/>
      <c r="B1388" s="60"/>
      <c r="C1388" s="61"/>
      <c r="D1388" s="60"/>
    </row>
    <row r="1389" spans="1:4" x14ac:dyDescent="0.25">
      <c r="A1389" s="62"/>
      <c r="B1389" s="60"/>
      <c r="C1389" s="61"/>
      <c r="D1389" s="60"/>
    </row>
    <row r="1390" spans="1:4" x14ac:dyDescent="0.25">
      <c r="A1390" s="62"/>
      <c r="B1390" s="60"/>
      <c r="C1390" s="61"/>
      <c r="D1390" s="60"/>
    </row>
    <row r="1391" spans="1:4" x14ac:dyDescent="0.25">
      <c r="A1391" s="62"/>
      <c r="B1391" s="60"/>
      <c r="C1391" s="61"/>
      <c r="D1391" s="60"/>
    </row>
    <row r="1392" spans="1:4" x14ac:dyDescent="0.25">
      <c r="A1392" s="62"/>
      <c r="B1392" s="60"/>
      <c r="C1392" s="61"/>
      <c r="D1392" s="60"/>
    </row>
    <row r="1393" spans="1:4" x14ac:dyDescent="0.25">
      <c r="A1393" s="62"/>
      <c r="B1393" s="60"/>
      <c r="C1393" s="61"/>
      <c r="D1393" s="60"/>
    </row>
    <row r="1394" spans="1:4" x14ac:dyDescent="0.25">
      <c r="A1394" s="62"/>
      <c r="B1394" s="60"/>
      <c r="C1394" s="61"/>
      <c r="D1394" s="60"/>
    </row>
    <row r="1395" spans="1:4" x14ac:dyDescent="0.25">
      <c r="A1395" s="62"/>
      <c r="B1395" s="60"/>
      <c r="C1395" s="61"/>
      <c r="D1395" s="60"/>
    </row>
    <row r="1396" spans="1:4" x14ac:dyDescent="0.25">
      <c r="A1396" s="62"/>
      <c r="B1396" s="60"/>
      <c r="C1396" s="61"/>
      <c r="D1396" s="60"/>
    </row>
    <row r="1397" spans="1:4" x14ac:dyDescent="0.25">
      <c r="A1397" s="62"/>
      <c r="B1397" s="60"/>
      <c r="C1397" s="61"/>
      <c r="D1397" s="60"/>
    </row>
    <row r="1398" spans="1:4" x14ac:dyDescent="0.25">
      <c r="A1398" s="62"/>
      <c r="B1398" s="60"/>
      <c r="C1398" s="61"/>
      <c r="D1398" s="60"/>
    </row>
    <row r="1399" spans="1:4" x14ac:dyDescent="0.25">
      <c r="A1399" s="62"/>
      <c r="B1399" s="63"/>
      <c r="C1399" s="63"/>
      <c r="D1399" s="60"/>
    </row>
    <row r="1400" spans="1:4" x14ac:dyDescent="0.25">
      <c r="A1400" s="62"/>
      <c r="B1400" s="60"/>
      <c r="C1400" s="61"/>
      <c r="D1400" s="60"/>
    </row>
    <row r="1401" spans="1:4" x14ac:dyDescent="0.25">
      <c r="A1401" s="62"/>
      <c r="B1401" s="60"/>
      <c r="C1401" s="61"/>
      <c r="D1401" s="60"/>
    </row>
    <row r="1402" spans="1:4" x14ac:dyDescent="0.25">
      <c r="A1402" s="62"/>
      <c r="B1402" s="60"/>
      <c r="C1402" s="61"/>
      <c r="D1402" s="60"/>
    </row>
    <row r="1403" spans="1:4" x14ac:dyDescent="0.25">
      <c r="A1403" s="62"/>
      <c r="B1403" s="60"/>
      <c r="C1403" s="61"/>
      <c r="D1403" s="60"/>
    </row>
    <row r="1404" spans="1:4" x14ac:dyDescent="0.25">
      <c r="A1404" s="62"/>
      <c r="B1404" s="63"/>
      <c r="C1404" s="63"/>
      <c r="D1404" s="60"/>
    </row>
    <row r="1405" spans="1:4" x14ac:dyDescent="0.25">
      <c r="A1405" s="62"/>
      <c r="B1405" s="60"/>
      <c r="C1405" s="61"/>
      <c r="D1405" s="60"/>
    </row>
    <row r="1406" spans="1:4" x14ac:dyDescent="0.25">
      <c r="A1406" s="62"/>
      <c r="B1406" s="60"/>
      <c r="C1406" s="61"/>
      <c r="D1406" s="60"/>
    </row>
    <row r="1407" spans="1:4" x14ac:dyDescent="0.25">
      <c r="A1407" s="62"/>
      <c r="B1407" s="60"/>
      <c r="C1407" s="61"/>
      <c r="D1407" s="60"/>
    </row>
    <row r="1408" spans="1:4" x14ac:dyDescent="0.25">
      <c r="A1408" s="62"/>
      <c r="B1408" s="60"/>
      <c r="C1408" s="61"/>
      <c r="D1408" s="60"/>
    </row>
    <row r="1409" spans="1:4" x14ac:dyDescent="0.25">
      <c r="A1409" s="62"/>
      <c r="B1409" s="60"/>
      <c r="C1409" s="61"/>
      <c r="D1409" s="60"/>
    </row>
    <row r="1410" spans="1:4" x14ac:dyDescent="0.25">
      <c r="A1410" s="62"/>
      <c r="B1410" s="60"/>
      <c r="C1410" s="61"/>
      <c r="D1410" s="60"/>
    </row>
    <row r="1411" spans="1:4" x14ac:dyDescent="0.25">
      <c r="A1411" s="62"/>
      <c r="B1411" s="60"/>
      <c r="C1411" s="61"/>
      <c r="D1411" s="60"/>
    </row>
    <row r="1412" spans="1:4" x14ac:dyDescent="0.25">
      <c r="A1412" s="62"/>
      <c r="B1412" s="63"/>
      <c r="C1412" s="63"/>
      <c r="D1412" s="60"/>
    </row>
    <row r="1413" spans="1:4" x14ac:dyDescent="0.25">
      <c r="A1413" s="62"/>
      <c r="B1413" s="60"/>
      <c r="C1413" s="61"/>
      <c r="D1413" s="60"/>
    </row>
    <row r="1414" spans="1:4" x14ac:dyDescent="0.25">
      <c r="A1414" s="62"/>
      <c r="B1414" s="60"/>
      <c r="C1414" s="61"/>
      <c r="D1414" s="60"/>
    </row>
    <row r="1415" spans="1:4" x14ac:dyDescent="0.25">
      <c r="A1415" s="62"/>
      <c r="B1415" s="60"/>
      <c r="C1415" s="61"/>
      <c r="D1415" s="60"/>
    </row>
    <row r="1416" spans="1:4" x14ac:dyDescent="0.25">
      <c r="A1416" s="62"/>
      <c r="B1416" s="63"/>
      <c r="C1416" s="63"/>
      <c r="D1416" s="60"/>
    </row>
    <row r="1417" spans="1:4" x14ac:dyDescent="0.25">
      <c r="A1417" s="62"/>
      <c r="B1417" s="60"/>
      <c r="C1417" s="61"/>
      <c r="D1417" s="60"/>
    </row>
    <row r="1418" spans="1:4" x14ac:dyDescent="0.25">
      <c r="A1418" s="62"/>
      <c r="B1418" s="60"/>
      <c r="C1418" s="61"/>
      <c r="D1418" s="60"/>
    </row>
    <row r="1419" spans="1:4" x14ac:dyDescent="0.25">
      <c r="A1419" s="62"/>
      <c r="B1419" s="60"/>
      <c r="C1419" s="61"/>
      <c r="D1419" s="60"/>
    </row>
    <row r="1420" spans="1:4" x14ac:dyDescent="0.25">
      <c r="A1420" s="62"/>
      <c r="B1420" s="60"/>
      <c r="C1420" s="61"/>
      <c r="D1420" s="60"/>
    </row>
    <row r="1421" spans="1:4" x14ac:dyDescent="0.25">
      <c r="A1421" s="62"/>
      <c r="B1421" s="60"/>
      <c r="C1421" s="61"/>
      <c r="D1421" s="60"/>
    </row>
    <row r="1422" spans="1:4" x14ac:dyDescent="0.25">
      <c r="A1422" s="62"/>
      <c r="B1422" s="60"/>
      <c r="C1422" s="61"/>
      <c r="D1422" s="60"/>
    </row>
    <row r="1423" spans="1:4" x14ac:dyDescent="0.25">
      <c r="A1423" s="62"/>
      <c r="B1423" s="60"/>
      <c r="C1423" s="61"/>
      <c r="D1423" s="60"/>
    </row>
    <row r="1424" spans="1:4" x14ac:dyDescent="0.25">
      <c r="A1424" s="62"/>
      <c r="B1424" s="60"/>
      <c r="C1424" s="61"/>
      <c r="D1424" s="60"/>
    </row>
    <row r="1425" spans="1:4" x14ac:dyDescent="0.25">
      <c r="A1425" s="62"/>
      <c r="B1425" s="60"/>
      <c r="C1425" s="61"/>
      <c r="D1425" s="60"/>
    </row>
    <row r="1426" spans="1:4" x14ac:dyDescent="0.25">
      <c r="A1426" s="62"/>
      <c r="B1426" s="60"/>
      <c r="C1426" s="61"/>
      <c r="D1426" s="60"/>
    </row>
    <row r="1427" spans="1:4" x14ac:dyDescent="0.25">
      <c r="A1427" s="62"/>
      <c r="B1427" s="60"/>
      <c r="C1427" s="61"/>
      <c r="D1427" s="60"/>
    </row>
    <row r="1428" spans="1:4" x14ac:dyDescent="0.25">
      <c r="A1428" s="62"/>
      <c r="B1428" s="63"/>
      <c r="C1428" s="63"/>
      <c r="D1428" s="60"/>
    </row>
    <row r="1429" spans="1:4" x14ac:dyDescent="0.25">
      <c r="A1429" s="62"/>
      <c r="B1429" s="60"/>
      <c r="C1429" s="61"/>
      <c r="D1429" s="60"/>
    </row>
    <row r="1430" spans="1:4" x14ac:dyDescent="0.25">
      <c r="A1430" s="62"/>
      <c r="B1430" s="60"/>
      <c r="C1430" s="61"/>
      <c r="D1430" s="60"/>
    </row>
    <row r="1431" spans="1:4" x14ac:dyDescent="0.25">
      <c r="A1431" s="62"/>
      <c r="B1431" s="60"/>
      <c r="C1431" s="61"/>
      <c r="D1431" s="60"/>
    </row>
    <row r="1432" spans="1:4" x14ac:dyDescent="0.25">
      <c r="A1432" s="62"/>
      <c r="B1432" s="60"/>
      <c r="C1432" s="61"/>
      <c r="D1432" s="60"/>
    </row>
    <row r="1433" spans="1:4" x14ac:dyDescent="0.25">
      <c r="A1433" s="62"/>
      <c r="B1433" s="60"/>
      <c r="C1433" s="61"/>
      <c r="D1433" s="60"/>
    </row>
    <row r="1434" spans="1:4" x14ac:dyDescent="0.25">
      <c r="A1434" s="62"/>
      <c r="B1434" s="60"/>
      <c r="C1434" s="61"/>
      <c r="D1434" s="60"/>
    </row>
    <row r="1435" spans="1:4" x14ac:dyDescent="0.25">
      <c r="A1435" s="62"/>
      <c r="B1435" s="60"/>
      <c r="C1435" s="61"/>
      <c r="D1435" s="60"/>
    </row>
    <row r="1436" spans="1:4" x14ac:dyDescent="0.25">
      <c r="A1436" s="62"/>
      <c r="B1436" s="60"/>
      <c r="C1436" s="61"/>
      <c r="D1436" s="60"/>
    </row>
    <row r="1437" spans="1:4" x14ac:dyDescent="0.25">
      <c r="A1437" s="62"/>
      <c r="B1437" s="60"/>
      <c r="C1437" s="61"/>
      <c r="D1437" s="60"/>
    </row>
    <row r="1438" spans="1:4" x14ac:dyDescent="0.25">
      <c r="A1438" s="62"/>
      <c r="B1438" s="60"/>
      <c r="C1438" s="61"/>
      <c r="D1438" s="60"/>
    </row>
    <row r="1439" spans="1:4" x14ac:dyDescent="0.25">
      <c r="A1439" s="62"/>
      <c r="B1439" s="60"/>
      <c r="C1439" s="61"/>
      <c r="D1439" s="60"/>
    </row>
    <row r="1440" spans="1:4" x14ac:dyDescent="0.25">
      <c r="A1440" s="62"/>
      <c r="B1440" s="60"/>
      <c r="C1440" s="61"/>
      <c r="D1440" s="60"/>
    </row>
    <row r="1441" spans="1:4" x14ac:dyDescent="0.25">
      <c r="A1441" s="62"/>
      <c r="B1441" s="60"/>
      <c r="C1441" s="61"/>
      <c r="D1441" s="60"/>
    </row>
    <row r="1442" spans="1:4" x14ac:dyDescent="0.25">
      <c r="A1442" s="62"/>
      <c r="B1442" s="60"/>
      <c r="C1442" s="61"/>
      <c r="D1442" s="60"/>
    </row>
    <row r="1443" spans="1:4" x14ac:dyDescent="0.25">
      <c r="A1443" s="62"/>
      <c r="B1443" s="60"/>
      <c r="C1443" s="61"/>
      <c r="D1443" s="60"/>
    </row>
    <row r="1444" spans="1:4" x14ac:dyDescent="0.25">
      <c r="A1444" s="62"/>
      <c r="B1444" s="60"/>
      <c r="C1444" s="61"/>
      <c r="D1444" s="60"/>
    </row>
    <row r="1445" spans="1:4" x14ac:dyDescent="0.25">
      <c r="A1445" s="62"/>
      <c r="B1445" s="60"/>
      <c r="C1445" s="61"/>
      <c r="D1445" s="60"/>
    </row>
    <row r="1446" spans="1:4" x14ac:dyDescent="0.25">
      <c r="A1446" s="62"/>
      <c r="B1446" s="60"/>
      <c r="C1446" s="61"/>
      <c r="D1446" s="60"/>
    </row>
    <row r="1447" spans="1:4" x14ac:dyDescent="0.25">
      <c r="A1447" s="62"/>
      <c r="B1447" s="60"/>
      <c r="C1447" s="61"/>
      <c r="D1447" s="60"/>
    </row>
    <row r="1448" spans="1:4" x14ac:dyDescent="0.25">
      <c r="A1448" s="62"/>
      <c r="B1448" s="60"/>
      <c r="C1448" s="61"/>
      <c r="D1448" s="60"/>
    </row>
    <row r="1449" spans="1:4" x14ac:dyDescent="0.25">
      <c r="A1449" s="62"/>
      <c r="B1449" s="60"/>
      <c r="C1449" s="61"/>
      <c r="D1449" s="60"/>
    </row>
    <row r="1450" spans="1:4" x14ac:dyDescent="0.25">
      <c r="A1450" s="62"/>
      <c r="B1450" s="60"/>
      <c r="C1450" s="61"/>
      <c r="D1450" s="60"/>
    </row>
    <row r="1451" spans="1:4" x14ac:dyDescent="0.25">
      <c r="A1451" s="62"/>
      <c r="B1451" s="60"/>
      <c r="C1451" s="61"/>
      <c r="D1451" s="60"/>
    </row>
    <row r="1452" spans="1:4" x14ac:dyDescent="0.25">
      <c r="A1452" s="62"/>
      <c r="B1452" s="60"/>
      <c r="C1452" s="61"/>
      <c r="D1452" s="60"/>
    </row>
    <row r="1453" spans="1:4" x14ac:dyDescent="0.25">
      <c r="A1453" s="62"/>
      <c r="B1453" s="60"/>
      <c r="C1453" s="61"/>
      <c r="D1453" s="60"/>
    </row>
    <row r="1454" spans="1:4" x14ac:dyDescent="0.25">
      <c r="A1454" s="62"/>
      <c r="B1454" s="60"/>
      <c r="C1454" s="61"/>
      <c r="D1454" s="60"/>
    </row>
    <row r="1455" spans="1:4" x14ac:dyDescent="0.25">
      <c r="A1455" s="62"/>
      <c r="B1455" s="60"/>
      <c r="C1455" s="61"/>
      <c r="D1455" s="60"/>
    </row>
    <row r="1456" spans="1:4" x14ac:dyDescent="0.25">
      <c r="A1456" s="62"/>
      <c r="B1456" s="60"/>
      <c r="C1456" s="61"/>
      <c r="D1456" s="60"/>
    </row>
    <row r="1457" spans="1:4" x14ac:dyDescent="0.25">
      <c r="A1457" s="62"/>
      <c r="B1457" s="60"/>
      <c r="C1457" s="61"/>
      <c r="D1457" s="60"/>
    </row>
    <row r="1458" spans="1:4" x14ac:dyDescent="0.25">
      <c r="A1458" s="62"/>
      <c r="B1458" s="60"/>
      <c r="C1458" s="61"/>
      <c r="D1458" s="60"/>
    </row>
    <row r="1459" spans="1:4" x14ac:dyDescent="0.25">
      <c r="A1459" s="62"/>
      <c r="B1459" s="60"/>
      <c r="C1459" s="61"/>
      <c r="D1459" s="60"/>
    </row>
    <row r="1460" spans="1:4" x14ac:dyDescent="0.25">
      <c r="A1460" s="62"/>
      <c r="B1460" s="63"/>
      <c r="C1460" s="63"/>
      <c r="D1460" s="60"/>
    </row>
    <row r="1461" spans="1:4" x14ac:dyDescent="0.25">
      <c r="A1461" s="62"/>
      <c r="B1461" s="60"/>
      <c r="C1461" s="61"/>
      <c r="D1461" s="60"/>
    </row>
    <row r="1462" spans="1:4" x14ac:dyDescent="0.25">
      <c r="A1462" s="62"/>
      <c r="B1462" s="60"/>
      <c r="C1462" s="61"/>
      <c r="D1462" s="60"/>
    </row>
    <row r="1463" spans="1:4" x14ac:dyDescent="0.25">
      <c r="A1463" s="62"/>
      <c r="B1463" s="60"/>
      <c r="C1463" s="61"/>
      <c r="D1463" s="60"/>
    </row>
    <row r="1464" spans="1:4" x14ac:dyDescent="0.25">
      <c r="A1464" s="62"/>
      <c r="B1464" s="60"/>
      <c r="C1464" s="61"/>
      <c r="D1464" s="60"/>
    </row>
    <row r="1465" spans="1:4" x14ac:dyDescent="0.25">
      <c r="A1465" s="62"/>
      <c r="B1465" s="60"/>
      <c r="C1465" s="61"/>
      <c r="D1465" s="60"/>
    </row>
    <row r="1466" spans="1:4" x14ac:dyDescent="0.25">
      <c r="A1466" s="62"/>
      <c r="B1466" s="60"/>
      <c r="C1466" s="61"/>
      <c r="D1466" s="60"/>
    </row>
    <row r="1467" spans="1:4" x14ac:dyDescent="0.25">
      <c r="A1467" s="62"/>
      <c r="B1467" s="60"/>
      <c r="C1467" s="61"/>
      <c r="D1467" s="60"/>
    </row>
    <row r="1468" spans="1:4" x14ac:dyDescent="0.25">
      <c r="A1468" s="62"/>
      <c r="B1468" s="60"/>
      <c r="C1468" s="61"/>
      <c r="D1468" s="60"/>
    </row>
    <row r="1469" spans="1:4" x14ac:dyDescent="0.25">
      <c r="A1469" s="62"/>
      <c r="B1469" s="60"/>
      <c r="C1469" s="61"/>
      <c r="D1469" s="60"/>
    </row>
    <row r="1470" spans="1:4" x14ac:dyDescent="0.25">
      <c r="A1470" s="62"/>
      <c r="B1470" s="60"/>
      <c r="C1470" s="61"/>
      <c r="D1470" s="60"/>
    </row>
    <row r="1471" spans="1:4" x14ac:dyDescent="0.25">
      <c r="A1471" s="62"/>
      <c r="B1471" s="60"/>
      <c r="C1471" s="61"/>
      <c r="D1471" s="60"/>
    </row>
    <row r="1472" spans="1:4" x14ac:dyDescent="0.25">
      <c r="A1472" s="62"/>
      <c r="B1472" s="60"/>
      <c r="C1472" s="61"/>
      <c r="D1472" s="60"/>
    </row>
    <row r="1473" spans="1:6" x14ac:dyDescent="0.25">
      <c r="A1473" s="62"/>
      <c r="B1473" s="60"/>
      <c r="C1473" s="61"/>
      <c r="D1473" s="60"/>
    </row>
    <row r="1474" spans="1:6" x14ac:dyDescent="0.25">
      <c r="A1474" s="62"/>
      <c r="B1474" s="60"/>
      <c r="C1474" s="61"/>
      <c r="D1474" s="60"/>
    </row>
    <row r="1475" spans="1:6" x14ac:dyDescent="0.25">
      <c r="A1475" s="62"/>
      <c r="B1475" s="60"/>
      <c r="C1475" s="61"/>
      <c r="D1475" s="60"/>
    </row>
    <row r="1476" spans="1:6" x14ac:dyDescent="0.25">
      <c r="A1476" s="62"/>
      <c r="B1476" s="60"/>
      <c r="C1476" s="61"/>
      <c r="D1476" s="60"/>
    </row>
    <row r="1477" spans="1:6" x14ac:dyDescent="0.25">
      <c r="A1477" s="62"/>
      <c r="B1477" s="60"/>
      <c r="C1477" s="61"/>
      <c r="D1477" s="60"/>
    </row>
    <row r="1478" spans="1:6" x14ac:dyDescent="0.2">
      <c r="A1478" s="88"/>
      <c r="B1478" s="88"/>
      <c r="C1478" s="88"/>
      <c r="D1478" s="88"/>
      <c r="E1478" s="88"/>
      <c r="F1478" s="88"/>
    </row>
  </sheetData>
  <mergeCells count="42">
    <mergeCell ref="A1478:F1478"/>
    <mergeCell ref="A41:F41"/>
    <mergeCell ref="A42:F42"/>
    <mergeCell ref="A43:F43"/>
    <mergeCell ref="A44:F44"/>
    <mergeCell ref="A49:F49"/>
    <mergeCell ref="A50:F50"/>
    <mergeCell ref="A36:F36"/>
    <mergeCell ref="A37:F37"/>
    <mergeCell ref="A38:F38"/>
    <mergeCell ref="A39:F39"/>
    <mergeCell ref="A40:F40"/>
    <mergeCell ref="A35:F35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23:F2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11:F11"/>
    <mergeCell ref="A1:D1"/>
    <mergeCell ref="A3:F3"/>
    <mergeCell ref="A4:F4"/>
    <mergeCell ref="A5:F5"/>
    <mergeCell ref="A10:F10"/>
  </mergeCells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3BD-5736-40AD-A366-A3C6BB87E10B}">
  <dimension ref="A1:L314"/>
  <sheetViews>
    <sheetView topLeftCell="A2" workbookViewId="0">
      <selection activeCell="A2" sqref="A2"/>
    </sheetView>
  </sheetViews>
  <sheetFormatPr defaultColWidth="9.140625" defaultRowHeight="15" x14ac:dyDescent="0.25"/>
  <cols>
    <col min="1" max="1" width="48.5703125" style="58" customWidth="1"/>
    <col min="2" max="2" width="36.28515625" style="58" customWidth="1"/>
    <col min="3" max="3" width="29.140625" style="58" customWidth="1"/>
    <col min="4" max="4" width="48.5703125" style="58" customWidth="1"/>
    <col min="5" max="5" width="18.5703125" style="58" customWidth="1"/>
    <col min="6" max="6" width="22.7109375" style="58" customWidth="1"/>
  </cols>
  <sheetData>
    <row r="1" spans="1:12" ht="39.950000000000003" customHeight="1" x14ac:dyDescent="0.25">
      <c r="A1" s="89"/>
      <c r="B1" s="89"/>
      <c r="C1" s="89"/>
      <c r="D1" s="89"/>
    </row>
    <row r="2" spans="1:12" ht="30" customHeight="1" x14ac:dyDescent="0.3">
      <c r="A2" s="66" t="s">
        <v>157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x14ac:dyDescent="0.2">
      <c r="A3" s="88"/>
      <c r="B3" s="88"/>
      <c r="C3" s="88"/>
      <c r="D3" s="88"/>
      <c r="E3" s="88"/>
      <c r="F3" s="88"/>
    </row>
    <row r="4" spans="1:12" x14ac:dyDescent="0.2">
      <c r="A4" s="88" t="s">
        <v>156</v>
      </c>
      <c r="B4" s="88"/>
      <c r="C4" s="88"/>
      <c r="D4" s="88"/>
      <c r="E4" s="88"/>
      <c r="F4" s="88"/>
    </row>
    <row r="5" spans="1:12" x14ac:dyDescent="0.2">
      <c r="A5" s="88"/>
      <c r="B5" s="88"/>
      <c r="C5" s="88"/>
      <c r="D5" s="88"/>
      <c r="E5" s="88"/>
      <c r="F5" s="88"/>
    </row>
    <row r="6" spans="1:12" x14ac:dyDescent="0.25">
      <c r="A6" s="59"/>
    </row>
    <row r="7" spans="1:12" x14ac:dyDescent="0.25">
      <c r="A7" s="59" t="s">
        <v>155</v>
      </c>
    </row>
    <row r="8" spans="1:12" x14ac:dyDescent="0.25">
      <c r="A8" s="59" t="s">
        <v>134</v>
      </c>
    </row>
    <row r="9" spans="1:12" x14ac:dyDescent="0.25">
      <c r="A9" s="59"/>
    </row>
    <row r="10" spans="1:12" x14ac:dyDescent="0.2">
      <c r="A10" s="88"/>
      <c r="B10" s="88"/>
      <c r="C10" s="88"/>
      <c r="D10" s="88"/>
      <c r="E10" s="88"/>
      <c r="F10" s="88"/>
    </row>
    <row r="11" spans="1:12" x14ac:dyDescent="0.2">
      <c r="A11" s="88"/>
      <c r="B11" s="88"/>
      <c r="C11" s="88"/>
      <c r="D11" s="88"/>
      <c r="E11" s="88"/>
      <c r="F11" s="88"/>
    </row>
    <row r="12" spans="1:12" x14ac:dyDescent="0.2">
      <c r="A12" s="88"/>
      <c r="B12" s="88"/>
      <c r="C12" s="88"/>
      <c r="D12" s="88"/>
      <c r="E12" s="88"/>
      <c r="F12" s="88"/>
    </row>
    <row r="13" spans="1:12" x14ac:dyDescent="0.2">
      <c r="A13" s="88"/>
      <c r="B13" s="88"/>
      <c r="C13" s="88"/>
      <c r="D13" s="88"/>
      <c r="E13" s="88"/>
      <c r="F13" s="88"/>
    </row>
    <row r="14" spans="1:12" x14ac:dyDescent="0.2">
      <c r="A14" s="88"/>
      <c r="B14" s="88"/>
      <c r="C14" s="88"/>
      <c r="D14" s="88"/>
      <c r="E14" s="88"/>
      <c r="F14" s="88"/>
    </row>
    <row r="15" spans="1:12" x14ac:dyDescent="0.2">
      <c r="A15" s="88"/>
      <c r="B15" s="88"/>
      <c r="C15" s="88"/>
      <c r="D15" s="88"/>
      <c r="E15" s="88"/>
      <c r="F15" s="88"/>
    </row>
    <row r="16" spans="1:12" x14ac:dyDescent="0.2">
      <c r="A16" s="88"/>
      <c r="B16" s="88"/>
      <c r="C16" s="88"/>
      <c r="D16" s="88"/>
      <c r="E16" s="88"/>
      <c r="F16" s="88"/>
    </row>
    <row r="17" spans="1:6" x14ac:dyDescent="0.2">
      <c r="A17" s="88"/>
      <c r="B17" s="88"/>
      <c r="C17" s="88"/>
      <c r="D17" s="88"/>
      <c r="E17" s="88"/>
      <c r="F17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88"/>
      <c r="B22" s="88"/>
      <c r="C22" s="88"/>
      <c r="D22" s="88"/>
      <c r="E22" s="88"/>
      <c r="F22" s="88"/>
    </row>
    <row r="23" spans="1:6" x14ac:dyDescent="0.2">
      <c r="A23" s="88"/>
      <c r="B23" s="88"/>
      <c r="C23" s="88"/>
      <c r="D23" s="88"/>
      <c r="E23" s="88"/>
      <c r="F23" s="88"/>
    </row>
    <row r="24" spans="1:6" x14ac:dyDescent="0.2">
      <c r="A24" s="88"/>
      <c r="B24" s="88"/>
      <c r="C24" s="88"/>
      <c r="D24" s="88"/>
      <c r="E24" s="88"/>
      <c r="F24" s="88"/>
    </row>
    <row r="25" spans="1:6" x14ac:dyDescent="0.2">
      <c r="A25" s="88"/>
      <c r="B25" s="88"/>
      <c r="C25" s="88"/>
      <c r="D25" s="88"/>
      <c r="E25" s="88"/>
      <c r="F25" s="88"/>
    </row>
    <row r="26" spans="1:6" x14ac:dyDescent="0.2">
      <c r="A26" s="88"/>
      <c r="B26" s="88"/>
      <c r="C26" s="88"/>
      <c r="D26" s="88"/>
      <c r="E26" s="88"/>
      <c r="F26" s="88"/>
    </row>
    <row r="27" spans="1:6" x14ac:dyDescent="0.2">
      <c r="A27" s="88"/>
      <c r="B27" s="88"/>
      <c r="C27" s="88"/>
      <c r="D27" s="88"/>
      <c r="E27" s="88"/>
      <c r="F27" s="88"/>
    </row>
    <row r="28" spans="1:6" x14ac:dyDescent="0.2">
      <c r="A28" s="88"/>
      <c r="B28" s="88"/>
      <c r="C28" s="88"/>
      <c r="D28" s="88"/>
      <c r="E28" s="88"/>
      <c r="F28" s="88"/>
    </row>
    <row r="29" spans="1:6" x14ac:dyDescent="0.2">
      <c r="A29" s="88"/>
      <c r="B29" s="88"/>
      <c r="C29" s="88"/>
      <c r="D29" s="88"/>
      <c r="E29" s="88"/>
      <c r="F29" s="88"/>
    </row>
    <row r="30" spans="1:6" x14ac:dyDescent="0.2">
      <c r="A30" s="88"/>
      <c r="B30" s="88"/>
      <c r="C30" s="88"/>
      <c r="D30" s="88"/>
      <c r="E30" s="88"/>
      <c r="F30" s="88"/>
    </row>
    <row r="31" spans="1:6" x14ac:dyDescent="0.2">
      <c r="A31" s="88"/>
      <c r="B31" s="88"/>
      <c r="C31" s="88"/>
      <c r="D31" s="88"/>
      <c r="E31" s="88"/>
      <c r="F31" s="88"/>
    </row>
    <row r="32" spans="1:6" x14ac:dyDescent="0.2">
      <c r="A32" s="88"/>
      <c r="B32" s="88"/>
      <c r="C32" s="88"/>
      <c r="D32" s="88"/>
      <c r="E32" s="88"/>
      <c r="F32" s="88"/>
    </row>
    <row r="33" spans="1:6" x14ac:dyDescent="0.2">
      <c r="A33" s="88"/>
      <c r="B33" s="88"/>
      <c r="C33" s="88"/>
      <c r="D33" s="88"/>
      <c r="E33" s="88"/>
      <c r="F33" s="88"/>
    </row>
    <row r="34" spans="1:6" x14ac:dyDescent="0.2">
      <c r="A34" s="88"/>
      <c r="B34" s="88"/>
      <c r="C34" s="88"/>
      <c r="D34" s="88"/>
      <c r="E34" s="88"/>
      <c r="F34" s="88"/>
    </row>
    <row r="35" spans="1:6" x14ac:dyDescent="0.2">
      <c r="A35" s="88"/>
      <c r="B35" s="88"/>
      <c r="C35" s="88"/>
      <c r="D35" s="88"/>
      <c r="E35" s="88"/>
      <c r="F35" s="88"/>
    </row>
    <row r="36" spans="1:6" x14ac:dyDescent="0.2">
      <c r="A36" s="88"/>
      <c r="B36" s="88"/>
      <c r="C36" s="88"/>
      <c r="D36" s="88"/>
      <c r="E36" s="88"/>
      <c r="F36" s="88"/>
    </row>
    <row r="37" spans="1:6" x14ac:dyDescent="0.2">
      <c r="A37" s="88"/>
      <c r="B37" s="88"/>
      <c r="C37" s="88"/>
      <c r="D37" s="88"/>
      <c r="E37" s="88"/>
      <c r="F37" s="88"/>
    </row>
    <row r="38" spans="1:6" x14ac:dyDescent="0.2">
      <c r="A38" s="88"/>
      <c r="B38" s="88"/>
      <c r="C38" s="88"/>
      <c r="D38" s="88"/>
      <c r="E38" s="88"/>
      <c r="F38" s="88"/>
    </row>
    <row r="39" spans="1:6" x14ac:dyDescent="0.2">
      <c r="A39" s="88"/>
      <c r="B39" s="88"/>
      <c r="C39" s="88"/>
      <c r="D39" s="88"/>
      <c r="E39" s="88"/>
      <c r="F39" s="88"/>
    </row>
    <row r="40" spans="1:6" x14ac:dyDescent="0.2">
      <c r="A40" s="88"/>
      <c r="B40" s="88"/>
      <c r="C40" s="88"/>
      <c r="D40" s="88"/>
      <c r="E40" s="88"/>
      <c r="F40" s="88"/>
    </row>
    <row r="41" spans="1:6" x14ac:dyDescent="0.2">
      <c r="A41" s="88"/>
      <c r="B41" s="88"/>
      <c r="C41" s="88"/>
      <c r="D41" s="88"/>
      <c r="E41" s="88"/>
      <c r="F41" s="88"/>
    </row>
    <row r="42" spans="1:6" x14ac:dyDescent="0.2">
      <c r="A42" s="88"/>
      <c r="B42" s="88"/>
      <c r="C42" s="88"/>
      <c r="D42" s="88"/>
      <c r="E42" s="88"/>
      <c r="F42" s="88"/>
    </row>
    <row r="43" spans="1:6" x14ac:dyDescent="0.2">
      <c r="A43" s="88"/>
      <c r="B43" s="88"/>
      <c r="C43" s="88"/>
      <c r="D43" s="88"/>
      <c r="E43" s="88"/>
      <c r="F43" s="88"/>
    </row>
    <row r="44" spans="1:6" x14ac:dyDescent="0.2">
      <c r="A44" s="88"/>
      <c r="B44" s="88"/>
      <c r="C44" s="88"/>
      <c r="D44" s="88"/>
      <c r="E44" s="88"/>
      <c r="F44" s="88"/>
    </row>
    <row r="45" spans="1:6" x14ac:dyDescent="0.2">
      <c r="A45" s="64" t="s">
        <v>133</v>
      </c>
      <c r="B45" s="64" t="s">
        <v>132</v>
      </c>
      <c r="C45" s="64" t="s">
        <v>131</v>
      </c>
      <c r="D45" s="64" t="s">
        <v>130</v>
      </c>
      <c r="E45" s="64" t="s">
        <v>129</v>
      </c>
      <c r="F45" s="64" t="s">
        <v>128</v>
      </c>
    </row>
    <row r="46" spans="1:6" x14ac:dyDescent="0.2">
      <c r="A46" s="59" t="s">
        <v>154</v>
      </c>
      <c r="B46" s="59" t="s">
        <v>117</v>
      </c>
      <c r="C46" s="59" t="s">
        <v>153</v>
      </c>
      <c r="D46" s="59" t="s">
        <v>152</v>
      </c>
      <c r="E46" s="59" t="s">
        <v>151</v>
      </c>
      <c r="F46" s="59" t="s">
        <v>150</v>
      </c>
    </row>
    <row r="47" spans="1:6" x14ac:dyDescent="0.2">
      <c r="A47" s="59" t="s">
        <v>139</v>
      </c>
      <c r="B47" s="59" t="s">
        <v>117</v>
      </c>
      <c r="C47" s="59" t="s">
        <v>149</v>
      </c>
      <c r="D47" s="59" t="s">
        <v>148</v>
      </c>
      <c r="E47" s="59" t="s">
        <v>147</v>
      </c>
      <c r="F47" s="59" t="s">
        <v>146</v>
      </c>
    </row>
    <row r="48" spans="1:6" x14ac:dyDescent="0.2">
      <c r="A48" s="59" t="s">
        <v>145</v>
      </c>
      <c r="B48" s="59" t="s">
        <v>117</v>
      </c>
      <c r="C48" s="59" t="s">
        <v>144</v>
      </c>
      <c r="D48" s="59" t="s">
        <v>143</v>
      </c>
      <c r="E48" s="59" t="s">
        <v>142</v>
      </c>
      <c r="F48" s="59" t="s">
        <v>141</v>
      </c>
    </row>
    <row r="49" spans="1:6" x14ac:dyDescent="0.2">
      <c r="A49" s="88"/>
      <c r="B49" s="88"/>
      <c r="C49" s="88"/>
      <c r="D49" s="88"/>
      <c r="E49" s="88"/>
      <c r="F49" s="88"/>
    </row>
    <row r="50" spans="1:6" x14ac:dyDescent="0.2">
      <c r="A50" s="88"/>
      <c r="B50" s="88"/>
      <c r="C50" s="88"/>
      <c r="D50" s="88"/>
      <c r="E50" s="88"/>
      <c r="F50" s="88"/>
    </row>
    <row r="51" spans="1:6" x14ac:dyDescent="0.25">
      <c r="A51" s="64" t="s">
        <v>112</v>
      </c>
      <c r="B51" s="64" t="s">
        <v>140</v>
      </c>
      <c r="C51" s="64" t="s">
        <v>139</v>
      </c>
      <c r="D51" s="64" t="s">
        <v>138</v>
      </c>
    </row>
    <row r="52" spans="1:6" x14ac:dyDescent="0.25">
      <c r="A52" s="62">
        <v>46185</v>
      </c>
      <c r="B52" s="60">
        <v>0.79096786898158489</v>
      </c>
      <c r="C52" s="61">
        <v>1254231</v>
      </c>
      <c r="D52" s="60">
        <v>21.528018978566486</v>
      </c>
    </row>
    <row r="53" spans="1:6" x14ac:dyDescent="0.25">
      <c r="A53" s="62">
        <v>46184</v>
      </c>
      <c r="B53" s="60">
        <v>-1.6180380058420092</v>
      </c>
      <c r="C53" s="61">
        <v>613282</v>
      </c>
      <c r="D53" s="60">
        <v>17.70901372830339</v>
      </c>
    </row>
    <row r="54" spans="1:6" x14ac:dyDescent="0.25">
      <c r="A54" s="62">
        <v>46183</v>
      </c>
      <c r="B54" s="60">
        <v>-1.1126062555384191</v>
      </c>
      <c r="C54" s="61">
        <v>1866212</v>
      </c>
      <c r="D54" s="60">
        <v>17.649255720347767</v>
      </c>
    </row>
    <row r="55" spans="1:6" x14ac:dyDescent="0.25">
      <c r="A55" s="62">
        <v>46182</v>
      </c>
      <c r="B55" s="60">
        <v>-2.733926285733046</v>
      </c>
      <c r="C55" s="61">
        <v>536175</v>
      </c>
      <c r="D55" s="60">
        <v>18.98560156278868</v>
      </c>
    </row>
    <row r="56" spans="1:6" x14ac:dyDescent="0.25">
      <c r="A56" s="62">
        <v>46181</v>
      </c>
      <c r="B56" s="60">
        <v>-4.1780170008861521</v>
      </c>
      <c r="C56" s="61">
        <v>417045</v>
      </c>
      <c r="D56" s="60">
        <v>17.096289345379308</v>
      </c>
    </row>
    <row r="57" spans="1:6" x14ac:dyDescent="0.25">
      <c r="A57" s="62">
        <v>46178</v>
      </c>
      <c r="B57" s="60">
        <v>-3.0752568184056015</v>
      </c>
      <c r="C57" s="61">
        <v>489330</v>
      </c>
      <c r="D57" s="60">
        <v>21.42988370531172</v>
      </c>
    </row>
    <row r="58" spans="1:6" x14ac:dyDescent="0.25">
      <c r="A58" s="62">
        <v>46177</v>
      </c>
      <c r="B58" s="60">
        <v>-3.4362794971938779</v>
      </c>
      <c r="C58" s="61">
        <v>646986</v>
      </c>
      <c r="D58" s="60">
        <v>22.783450720815782</v>
      </c>
    </row>
    <row r="59" spans="1:6" x14ac:dyDescent="0.25">
      <c r="A59" s="62">
        <v>46176</v>
      </c>
      <c r="B59" s="60">
        <v>-3.5609964225934556</v>
      </c>
      <c r="C59" s="61">
        <v>836338</v>
      </c>
      <c r="D59" s="60">
        <v>24.428947069557474</v>
      </c>
    </row>
    <row r="60" spans="1:6" x14ac:dyDescent="0.25">
      <c r="A60" s="62">
        <v>46175</v>
      </c>
      <c r="B60" s="60">
        <v>-4.5193475335587081</v>
      </c>
      <c r="C60" s="61">
        <v>948386</v>
      </c>
      <c r="D60" s="60">
        <v>24.832888621471966</v>
      </c>
    </row>
    <row r="61" spans="1:6" x14ac:dyDescent="0.25">
      <c r="A61" s="62">
        <v>46174</v>
      </c>
      <c r="B61" s="60">
        <v>-4.348682267222423</v>
      </c>
      <c r="C61" s="61">
        <v>690657</v>
      </c>
      <c r="D61" s="60">
        <v>23.449959876725515</v>
      </c>
    </row>
    <row r="62" spans="1:6" x14ac:dyDescent="0.25">
      <c r="A62" s="62">
        <v>46171</v>
      </c>
      <c r="B62" s="60">
        <v>-2.6682857986806323</v>
      </c>
      <c r="C62" s="61">
        <v>4438929</v>
      </c>
      <c r="D62" s="60">
        <v>22.876986643641374</v>
      </c>
    </row>
    <row r="63" spans="1:6" x14ac:dyDescent="0.25">
      <c r="A63" s="62">
        <v>46170</v>
      </c>
      <c r="B63" s="63" t="s">
        <v>108</v>
      </c>
      <c r="C63" s="63" t="s">
        <v>108</v>
      </c>
      <c r="D63" s="60">
        <v>23.33697563177769</v>
      </c>
    </row>
    <row r="64" spans="1:6" x14ac:dyDescent="0.25">
      <c r="A64" s="62">
        <v>46169</v>
      </c>
      <c r="B64" s="60">
        <v>-2.8061308214906955</v>
      </c>
      <c r="C64" s="61">
        <v>323780</v>
      </c>
      <c r="D64" s="60">
        <v>24.213523091191949</v>
      </c>
    </row>
    <row r="65" spans="1:4" x14ac:dyDescent="0.25">
      <c r="A65" s="62">
        <v>46168</v>
      </c>
      <c r="B65" s="60">
        <v>-2.9505398930060092</v>
      </c>
      <c r="C65" s="61">
        <v>454638</v>
      </c>
      <c r="D65" s="60">
        <v>24.98309835375424</v>
      </c>
    </row>
    <row r="66" spans="1:4" x14ac:dyDescent="0.25">
      <c r="A66" s="62">
        <v>46167</v>
      </c>
      <c r="B66" s="60">
        <v>-3.0358725261741442</v>
      </c>
      <c r="C66" s="61">
        <v>593426</v>
      </c>
      <c r="D66" s="60">
        <v>23.668885625484659</v>
      </c>
    </row>
    <row r="67" spans="1:4" x14ac:dyDescent="0.25">
      <c r="A67" s="62">
        <v>46164</v>
      </c>
      <c r="B67" s="60">
        <v>-2.9571039417112446</v>
      </c>
      <c r="C67" s="61">
        <v>533048</v>
      </c>
      <c r="D67" s="60">
        <v>22.89129305179668</v>
      </c>
    </row>
    <row r="68" spans="1:4" x14ac:dyDescent="0.25">
      <c r="A68" s="62">
        <v>46163</v>
      </c>
      <c r="B68" s="60">
        <v>-3.3246906692047715</v>
      </c>
      <c r="C68" s="61">
        <v>465411</v>
      </c>
      <c r="D68" s="60">
        <v>20.689050083586537</v>
      </c>
    </row>
    <row r="69" spans="1:4" x14ac:dyDescent="0.25">
      <c r="A69" s="62">
        <v>46162</v>
      </c>
      <c r="B69" s="60">
        <v>-4.4537070465062936</v>
      </c>
      <c r="C69" s="61">
        <v>356329</v>
      </c>
      <c r="D69" s="60">
        <v>21.127643263673757</v>
      </c>
    </row>
    <row r="70" spans="1:4" x14ac:dyDescent="0.25">
      <c r="A70" s="62">
        <v>46161</v>
      </c>
      <c r="B70" s="60">
        <v>-4.4405789490958085</v>
      </c>
      <c r="C70" s="61">
        <v>617156</v>
      </c>
      <c r="D70" s="60">
        <v>21.406026571124485</v>
      </c>
    </row>
    <row r="71" spans="1:4" x14ac:dyDescent="0.25">
      <c r="A71" s="62">
        <v>46160</v>
      </c>
      <c r="B71" s="60">
        <v>-4.8081656765893204</v>
      </c>
      <c r="C71" s="61">
        <v>655599</v>
      </c>
      <c r="D71" s="60">
        <v>22.748081509990829</v>
      </c>
    </row>
    <row r="72" spans="1:4" x14ac:dyDescent="0.25">
      <c r="A72" s="62">
        <v>46157</v>
      </c>
      <c r="B72" s="60">
        <v>-3.6594571531720765</v>
      </c>
      <c r="C72" s="61">
        <v>909039</v>
      </c>
      <c r="D72" s="60">
        <v>24.658919348222568</v>
      </c>
    </row>
    <row r="73" spans="1:4" x14ac:dyDescent="0.25">
      <c r="A73" s="62">
        <v>46156</v>
      </c>
      <c r="B73" s="60">
        <v>-2.6026453116282182</v>
      </c>
      <c r="C73" s="61">
        <v>1213793</v>
      </c>
      <c r="D73" s="60">
        <v>27.566113301014067</v>
      </c>
    </row>
    <row r="74" spans="1:4" x14ac:dyDescent="0.25">
      <c r="A74" s="62">
        <v>46155</v>
      </c>
      <c r="B74" s="60">
        <v>-5.1101119170304328</v>
      </c>
      <c r="C74" s="61">
        <v>1124814</v>
      </c>
      <c r="D74" s="60">
        <v>28.844356340842584</v>
      </c>
    </row>
    <row r="75" spans="1:4" x14ac:dyDescent="0.25">
      <c r="A75" s="62">
        <v>46154</v>
      </c>
      <c r="B75" s="60">
        <v>-4.6243723128425644</v>
      </c>
      <c r="C75" s="61">
        <v>1764144</v>
      </c>
      <c r="D75" s="60">
        <v>28.11742695478425</v>
      </c>
    </row>
    <row r="76" spans="1:4" x14ac:dyDescent="0.25">
      <c r="A76" s="62">
        <v>46153</v>
      </c>
      <c r="B76" s="60">
        <v>-5.6614920082707014</v>
      </c>
      <c r="C76" s="61">
        <v>922577</v>
      </c>
      <c r="D76" s="60">
        <v>29.095743671589599</v>
      </c>
    </row>
    <row r="77" spans="1:4" x14ac:dyDescent="0.25">
      <c r="A77" s="62">
        <v>46150</v>
      </c>
      <c r="B77" s="60">
        <v>-3.1146411106370437</v>
      </c>
      <c r="C77" s="61">
        <v>5494105</v>
      </c>
      <c r="D77" s="60">
        <v>30.04457596585204</v>
      </c>
    </row>
    <row r="78" spans="1:4" x14ac:dyDescent="0.25">
      <c r="A78" s="62">
        <v>46149</v>
      </c>
      <c r="B78" s="60">
        <v>-4.7950375791788344</v>
      </c>
      <c r="C78" s="61">
        <v>1464405</v>
      </c>
      <c r="D78" s="60">
        <v>31.022056655008054</v>
      </c>
    </row>
    <row r="79" spans="1:4" x14ac:dyDescent="0.25">
      <c r="A79" s="62">
        <v>46148</v>
      </c>
      <c r="B79" s="60">
        <v>-6.6920476549936021</v>
      </c>
      <c r="C79" s="61">
        <v>2276888</v>
      </c>
      <c r="D79" s="60">
        <v>30.459865067414906</v>
      </c>
    </row>
    <row r="80" spans="1:4" x14ac:dyDescent="0.25">
      <c r="A80" s="62">
        <v>46147</v>
      </c>
      <c r="B80" s="60">
        <v>-10.453247563096918</v>
      </c>
      <c r="C80" s="61">
        <v>621782</v>
      </c>
      <c r="D80" s="60">
        <v>27.324620871302411</v>
      </c>
    </row>
    <row r="81" spans="1:4" x14ac:dyDescent="0.25">
      <c r="A81" s="62">
        <v>46146</v>
      </c>
      <c r="B81" s="60">
        <v>-10.426991368275962</v>
      </c>
      <c r="C81" s="61">
        <v>649397</v>
      </c>
      <c r="D81" s="60">
        <v>26.950860121504089</v>
      </c>
    </row>
    <row r="82" spans="1:4" x14ac:dyDescent="0.25">
      <c r="A82" s="62">
        <v>46143</v>
      </c>
      <c r="B82" s="63" t="s">
        <v>108</v>
      </c>
      <c r="C82" s="63" t="s">
        <v>108</v>
      </c>
      <c r="D82" s="60">
        <v>26.599723425557951</v>
      </c>
    </row>
    <row r="83" spans="1:4" x14ac:dyDescent="0.25">
      <c r="A83" s="62">
        <v>46142</v>
      </c>
      <c r="B83" s="60">
        <v>-9.6983819619941585</v>
      </c>
      <c r="C83" s="61">
        <v>1333712</v>
      </c>
      <c r="D83" s="60">
        <v>26.576982457294697</v>
      </c>
    </row>
    <row r="84" spans="1:4" x14ac:dyDescent="0.25">
      <c r="A84" s="62">
        <v>46141</v>
      </c>
      <c r="B84" s="60">
        <v>-8.8253634841970552</v>
      </c>
      <c r="C84" s="61">
        <v>364945</v>
      </c>
      <c r="D84" s="60">
        <v>28.466715472658521</v>
      </c>
    </row>
    <row r="85" spans="1:4" x14ac:dyDescent="0.25">
      <c r="A85" s="62">
        <v>46140</v>
      </c>
      <c r="B85" s="60">
        <v>-8.5890577308083724</v>
      </c>
      <c r="C85" s="61">
        <v>390142</v>
      </c>
      <c r="D85" s="60">
        <v>26.679354937199619</v>
      </c>
    </row>
    <row r="86" spans="1:4" x14ac:dyDescent="0.25">
      <c r="A86" s="62">
        <v>46139</v>
      </c>
      <c r="B86" s="60">
        <v>-8.1492664675571955</v>
      </c>
      <c r="C86" s="61">
        <v>356391</v>
      </c>
      <c r="D86" s="60">
        <v>27.626031515294038</v>
      </c>
    </row>
    <row r="87" spans="1:4" x14ac:dyDescent="0.25">
      <c r="A87" s="62">
        <v>46136</v>
      </c>
      <c r="B87" s="60">
        <v>-8.4774689028192647</v>
      </c>
      <c r="C87" s="61">
        <v>506429</v>
      </c>
      <c r="D87" s="60">
        <v>27.093450286705806</v>
      </c>
    </row>
    <row r="88" spans="1:4" x14ac:dyDescent="0.25">
      <c r="A88" s="62">
        <v>46135</v>
      </c>
      <c r="B88" s="60">
        <v>-7.9654731038104396</v>
      </c>
      <c r="C88" s="61">
        <v>319278</v>
      </c>
      <c r="D88" s="60">
        <v>27.14617625408296</v>
      </c>
    </row>
    <row r="89" spans="1:4" x14ac:dyDescent="0.25">
      <c r="A89" s="62">
        <v>46134</v>
      </c>
      <c r="B89" s="60">
        <v>-6.8561488726246367</v>
      </c>
      <c r="C89" s="61">
        <v>629961</v>
      </c>
      <c r="D89" s="60">
        <v>29.446523357330726</v>
      </c>
    </row>
    <row r="90" spans="1:4" x14ac:dyDescent="0.25">
      <c r="A90" s="62">
        <v>46133</v>
      </c>
      <c r="B90" s="60">
        <v>-7.5913223276116764</v>
      </c>
      <c r="C90" s="61">
        <v>708195</v>
      </c>
      <c r="D90" s="60">
        <v>29.526239739728062</v>
      </c>
    </row>
    <row r="91" spans="1:4" x14ac:dyDescent="0.25">
      <c r="A91" s="62">
        <v>46132</v>
      </c>
      <c r="B91" s="60">
        <v>-8.7269027536184343</v>
      </c>
      <c r="C91" s="61">
        <v>894803</v>
      </c>
      <c r="D91" s="60">
        <v>29.038232097222874</v>
      </c>
    </row>
    <row r="92" spans="1:4" x14ac:dyDescent="0.25">
      <c r="A92" s="62">
        <v>46129</v>
      </c>
      <c r="B92" s="60">
        <v>-8.5365453411664287</v>
      </c>
      <c r="C92" s="61">
        <v>1740546</v>
      </c>
      <c r="D92" s="60">
        <v>29.336432236218243</v>
      </c>
    </row>
    <row r="93" spans="1:4" x14ac:dyDescent="0.25">
      <c r="A93" s="62">
        <v>46128</v>
      </c>
      <c r="B93" s="60">
        <v>-12.632511733237063</v>
      </c>
      <c r="C93" s="61">
        <v>1586537</v>
      </c>
      <c r="D93" s="60">
        <v>29.533632096549887</v>
      </c>
    </row>
    <row r="94" spans="1:4" x14ac:dyDescent="0.25">
      <c r="A94" s="62">
        <v>46127</v>
      </c>
      <c r="B94" s="60">
        <v>-12.730972463815684</v>
      </c>
      <c r="C94" s="61">
        <v>1064359</v>
      </c>
      <c r="D94" s="60">
        <v>27.880264954638896</v>
      </c>
    </row>
    <row r="95" spans="1:4" x14ac:dyDescent="0.25">
      <c r="A95" s="62">
        <v>46126</v>
      </c>
      <c r="B95" s="63" t="s">
        <v>108</v>
      </c>
      <c r="C95" s="63" t="s">
        <v>108</v>
      </c>
      <c r="D95" s="60">
        <v>27.85619611624703</v>
      </c>
    </row>
    <row r="96" spans="1:4" x14ac:dyDescent="0.25">
      <c r="A96" s="62">
        <v>46125</v>
      </c>
      <c r="B96" s="60">
        <v>-12.927893924972926</v>
      </c>
      <c r="C96" s="61">
        <v>724962</v>
      </c>
      <c r="D96" s="60">
        <v>26.164853076667796</v>
      </c>
    </row>
    <row r="97" spans="1:4" x14ac:dyDescent="0.25">
      <c r="A97" s="62">
        <v>46122</v>
      </c>
      <c r="B97" s="60">
        <v>-10.919295021169066</v>
      </c>
      <c r="C97" s="61">
        <v>1610183</v>
      </c>
      <c r="D97" s="60">
        <v>25.801805291907961</v>
      </c>
    </row>
    <row r="98" spans="1:4" x14ac:dyDescent="0.25">
      <c r="A98" s="62">
        <v>46121</v>
      </c>
      <c r="B98" s="60">
        <v>-11.556007745577469</v>
      </c>
      <c r="C98" s="61">
        <v>924142</v>
      </c>
      <c r="D98" s="60">
        <v>25.101101194363473</v>
      </c>
    </row>
    <row r="99" spans="1:4" x14ac:dyDescent="0.25">
      <c r="A99" s="62">
        <v>46120</v>
      </c>
      <c r="B99" s="60">
        <v>-11.057140043979128</v>
      </c>
      <c r="C99" s="61">
        <v>1855865</v>
      </c>
      <c r="D99" s="60">
        <v>25.143125484972522</v>
      </c>
    </row>
    <row r="100" spans="1:4" x14ac:dyDescent="0.25">
      <c r="A100" s="62">
        <v>46119</v>
      </c>
      <c r="B100" s="60">
        <v>-14.989005218418729</v>
      </c>
      <c r="C100" s="61">
        <v>454073</v>
      </c>
      <c r="D100" s="60">
        <v>19.596387280689889</v>
      </c>
    </row>
    <row r="101" spans="1:4" x14ac:dyDescent="0.25">
      <c r="A101" s="62">
        <v>46118</v>
      </c>
      <c r="B101" s="60">
        <v>-15.245003117923135</v>
      </c>
      <c r="C101" s="61">
        <v>1230910</v>
      </c>
      <c r="D101" s="60">
        <v>18.943146529591637</v>
      </c>
    </row>
    <row r="102" spans="1:4" x14ac:dyDescent="0.25">
      <c r="A102" s="62">
        <v>46115</v>
      </c>
      <c r="B102" s="63" t="s">
        <v>108</v>
      </c>
      <c r="C102" s="63" t="s">
        <v>108</v>
      </c>
      <c r="D102" s="60">
        <v>18.3659536499888</v>
      </c>
    </row>
    <row r="103" spans="1:4" x14ac:dyDescent="0.25">
      <c r="A103" s="62">
        <v>46114</v>
      </c>
      <c r="B103" s="60">
        <v>-16.400275690045628</v>
      </c>
      <c r="C103" s="61">
        <v>889612</v>
      </c>
      <c r="D103" s="60">
        <v>18.371797211494016</v>
      </c>
    </row>
    <row r="104" spans="1:4" x14ac:dyDescent="0.25">
      <c r="A104" s="62">
        <v>46113</v>
      </c>
      <c r="B104" s="60">
        <v>-14.207883422494996</v>
      </c>
      <c r="C104" s="61">
        <v>898466</v>
      </c>
      <c r="D104" s="60">
        <v>19.04848837543264</v>
      </c>
    </row>
    <row r="105" spans="1:4" x14ac:dyDescent="0.25">
      <c r="A105" s="62">
        <v>46112</v>
      </c>
      <c r="B105" s="63" t="s">
        <v>108</v>
      </c>
      <c r="C105" s="63" t="s">
        <v>108</v>
      </c>
      <c r="D105" s="60">
        <v>15.636996428484494</v>
      </c>
    </row>
    <row r="106" spans="1:4" x14ac:dyDescent="0.25">
      <c r="A106" s="62">
        <v>46111</v>
      </c>
      <c r="B106" s="60">
        <v>-15.651974137648104</v>
      </c>
      <c r="C106" s="61">
        <v>1146492</v>
      </c>
      <c r="D106" s="60">
        <v>17.244201512405542</v>
      </c>
    </row>
    <row r="107" spans="1:4" x14ac:dyDescent="0.25">
      <c r="A107" s="62">
        <v>46108</v>
      </c>
      <c r="B107" s="60">
        <v>-13.689323574780921</v>
      </c>
      <c r="C107" s="61">
        <v>1353886</v>
      </c>
      <c r="D107" s="60">
        <v>16.687701112861159</v>
      </c>
    </row>
    <row r="108" spans="1:4" x14ac:dyDescent="0.25">
      <c r="A108" s="62">
        <v>46107</v>
      </c>
      <c r="B108" s="63" t="s">
        <v>108</v>
      </c>
      <c r="C108" s="63" t="s">
        <v>108</v>
      </c>
      <c r="D108" s="60">
        <v>17.011530082565852</v>
      </c>
    </row>
    <row r="109" spans="1:4" x14ac:dyDescent="0.25">
      <c r="A109" s="62">
        <v>46106</v>
      </c>
      <c r="B109" s="60">
        <v>-10.545144244970304</v>
      </c>
      <c r="C109" s="61">
        <v>886923</v>
      </c>
      <c r="D109" s="60">
        <v>18.256466815962561</v>
      </c>
    </row>
    <row r="110" spans="1:4" x14ac:dyDescent="0.25">
      <c r="A110" s="62">
        <v>46105</v>
      </c>
      <c r="B110" s="60">
        <v>-12.553743148774164</v>
      </c>
      <c r="C110" s="61">
        <v>496307</v>
      </c>
      <c r="D110" s="60">
        <v>15.499209686808687</v>
      </c>
    </row>
    <row r="111" spans="1:4" x14ac:dyDescent="0.25">
      <c r="A111" s="62">
        <v>46104</v>
      </c>
      <c r="B111" s="60">
        <v>-13.689323574780921</v>
      </c>
      <c r="C111" s="61">
        <v>800316</v>
      </c>
      <c r="D111" s="60">
        <v>12.654318130938291</v>
      </c>
    </row>
    <row r="112" spans="1:4" x14ac:dyDescent="0.25">
      <c r="A112" s="62">
        <v>46101</v>
      </c>
      <c r="B112" s="60">
        <v>-11.956414716597202</v>
      </c>
      <c r="C112" s="61">
        <v>898444</v>
      </c>
      <c r="D112" s="60">
        <v>17.340677500827262</v>
      </c>
    </row>
    <row r="113" spans="1:4" x14ac:dyDescent="0.25">
      <c r="A113" s="62">
        <v>46100</v>
      </c>
      <c r="B113" s="60">
        <v>-14.083166497095405</v>
      </c>
      <c r="C113" s="61">
        <v>689898</v>
      </c>
      <c r="D113" s="60">
        <v>18.392308802715714</v>
      </c>
    </row>
    <row r="114" spans="1:4" x14ac:dyDescent="0.25">
      <c r="A114" s="62">
        <v>46099</v>
      </c>
      <c r="B114" s="60">
        <v>-9.1273097246381543</v>
      </c>
      <c r="C114" s="61">
        <v>540073</v>
      </c>
      <c r="D114" s="60">
        <v>22.915488867322431</v>
      </c>
    </row>
    <row r="115" spans="1:4" x14ac:dyDescent="0.25">
      <c r="A115" s="62">
        <v>46098</v>
      </c>
      <c r="B115" s="60">
        <v>-10.925859069874301</v>
      </c>
      <c r="C115" s="61">
        <v>283833</v>
      </c>
      <c r="D115" s="60">
        <v>22.577379751196656</v>
      </c>
    </row>
    <row r="116" spans="1:4" x14ac:dyDescent="0.25">
      <c r="A116" s="62">
        <v>46097</v>
      </c>
      <c r="B116" s="60">
        <v>-11.149036725852515</v>
      </c>
      <c r="C116" s="61">
        <v>332170</v>
      </c>
      <c r="D116" s="60">
        <v>22.381712596871566</v>
      </c>
    </row>
    <row r="117" spans="1:4" x14ac:dyDescent="0.25">
      <c r="A117" s="62">
        <v>46094</v>
      </c>
      <c r="B117" s="60">
        <v>-12.041747349765338</v>
      </c>
      <c r="C117" s="61">
        <v>878140</v>
      </c>
      <c r="D117" s="60">
        <v>23.59924700396019</v>
      </c>
    </row>
    <row r="118" spans="1:4" x14ac:dyDescent="0.25">
      <c r="A118" s="62">
        <v>46093</v>
      </c>
      <c r="B118" s="60">
        <v>-8.9303882634809124</v>
      </c>
      <c r="C118" s="61">
        <v>724869</v>
      </c>
      <c r="D118" s="60">
        <v>26.840901956344265</v>
      </c>
    </row>
    <row r="119" spans="1:4" x14ac:dyDescent="0.25">
      <c r="A119" s="62">
        <v>46092</v>
      </c>
      <c r="B119" s="60">
        <v>-7.8801404706422895</v>
      </c>
      <c r="C119" s="61">
        <v>283707</v>
      </c>
      <c r="D119" s="60">
        <v>27.428478832640938</v>
      </c>
    </row>
    <row r="120" spans="1:4" x14ac:dyDescent="0.25">
      <c r="A120" s="62">
        <v>46091</v>
      </c>
      <c r="B120" s="60">
        <v>-6.2850766352686334</v>
      </c>
      <c r="C120" s="61">
        <v>613943</v>
      </c>
      <c r="D120" s="60">
        <v>27.099495431059097</v>
      </c>
    </row>
    <row r="121" spans="1:4" x14ac:dyDescent="0.25">
      <c r="A121" s="62">
        <v>46090</v>
      </c>
      <c r="B121" s="60">
        <v>-8.996028750533327</v>
      </c>
      <c r="C121" s="61">
        <v>806385</v>
      </c>
      <c r="D121" s="60">
        <v>24.838452486439028</v>
      </c>
    </row>
    <row r="122" spans="1:4" x14ac:dyDescent="0.25">
      <c r="A122" s="62">
        <v>46087</v>
      </c>
      <c r="B122" s="60">
        <v>-5.8846696642489142</v>
      </c>
      <c r="C122" s="61">
        <v>563184</v>
      </c>
      <c r="D122" s="60">
        <v>28.42727972463069</v>
      </c>
    </row>
    <row r="123" spans="1:4" x14ac:dyDescent="0.25">
      <c r="A123" s="62">
        <v>46086</v>
      </c>
      <c r="B123" s="60">
        <v>-5.0904197709146972</v>
      </c>
      <c r="C123" s="61">
        <v>571622</v>
      </c>
      <c r="D123" s="60">
        <v>28.633978448236569</v>
      </c>
    </row>
    <row r="124" spans="1:4" x14ac:dyDescent="0.25">
      <c r="A124" s="62">
        <v>46085</v>
      </c>
      <c r="B124" s="60">
        <v>-5.5367750828711246</v>
      </c>
      <c r="C124" s="61">
        <v>1119317</v>
      </c>
      <c r="D124" s="60">
        <v>27.743189850367688</v>
      </c>
    </row>
    <row r="125" spans="1:4" x14ac:dyDescent="0.25">
      <c r="A125" s="62">
        <v>46084</v>
      </c>
      <c r="B125" s="63" t="s">
        <v>108</v>
      </c>
      <c r="C125" s="63" t="s">
        <v>108</v>
      </c>
      <c r="D125" s="60">
        <v>31.495064951677612</v>
      </c>
    </row>
    <row r="126" spans="1:4" x14ac:dyDescent="0.25">
      <c r="A126" s="62">
        <v>46083</v>
      </c>
      <c r="B126" s="60">
        <v>-3.8038662246873902</v>
      </c>
      <c r="C126" s="61">
        <v>699279</v>
      </c>
      <c r="D126" s="60">
        <v>35.281401200662081</v>
      </c>
    </row>
    <row r="127" spans="1:4" x14ac:dyDescent="0.25">
      <c r="A127" s="62">
        <v>46080</v>
      </c>
      <c r="B127" s="60">
        <v>-2.0643933177984208</v>
      </c>
      <c r="C127" s="61">
        <v>1606678</v>
      </c>
      <c r="D127" s="60">
        <v>35.449702466332369</v>
      </c>
    </row>
    <row r="128" spans="1:4" x14ac:dyDescent="0.25">
      <c r="A128" s="62">
        <v>46079</v>
      </c>
      <c r="B128" s="60">
        <v>-0.42994519019330824</v>
      </c>
      <c r="C128" s="61">
        <v>738376</v>
      </c>
      <c r="D128" s="60">
        <v>35.387573823682281</v>
      </c>
    </row>
    <row r="129" spans="1:4" x14ac:dyDescent="0.25">
      <c r="A129" s="62">
        <v>46078</v>
      </c>
      <c r="B129" s="60">
        <v>-1.696806590304909</v>
      </c>
      <c r="C129" s="61">
        <v>577178</v>
      </c>
      <c r="D129" s="60">
        <v>35.967722970278849</v>
      </c>
    </row>
    <row r="130" spans="1:4" x14ac:dyDescent="0.25">
      <c r="A130" s="62">
        <v>46077</v>
      </c>
      <c r="B130" s="60">
        <v>-2.819258918901181</v>
      </c>
      <c r="C130" s="61">
        <v>641633</v>
      </c>
      <c r="D130" s="60">
        <v>32.91768703458893</v>
      </c>
    </row>
    <row r="131" spans="1:4" x14ac:dyDescent="0.25">
      <c r="A131" s="62">
        <v>46076</v>
      </c>
      <c r="B131" s="60">
        <v>-2.7864386753749741</v>
      </c>
      <c r="C131" s="61">
        <v>511293</v>
      </c>
      <c r="D131" s="60">
        <v>31.900883223994679</v>
      </c>
    </row>
    <row r="132" spans="1:4" x14ac:dyDescent="0.25">
      <c r="A132" s="62">
        <v>46073</v>
      </c>
      <c r="B132" s="60">
        <v>-3.8432505169188325</v>
      </c>
      <c r="C132" s="61">
        <v>501173</v>
      </c>
      <c r="D132" s="60">
        <v>30.191401780284085</v>
      </c>
    </row>
    <row r="133" spans="1:4" x14ac:dyDescent="0.25">
      <c r="A133" s="62">
        <v>46072</v>
      </c>
      <c r="B133" s="60">
        <v>-3.8432505169188325</v>
      </c>
      <c r="C133" s="61">
        <v>407250</v>
      </c>
      <c r="D133" s="60">
        <v>30.543217453193783</v>
      </c>
    </row>
    <row r="134" spans="1:4" x14ac:dyDescent="0.25">
      <c r="A134" s="62">
        <v>46071</v>
      </c>
      <c r="B134" s="60">
        <v>-2.2284945354294559</v>
      </c>
      <c r="C134" s="61">
        <v>2016972</v>
      </c>
      <c r="D134" s="60">
        <v>31.010647550987805</v>
      </c>
    </row>
    <row r="135" spans="1:4" x14ac:dyDescent="0.25">
      <c r="A135" s="62">
        <v>46070</v>
      </c>
      <c r="B135" s="60">
        <v>-1.8346516131149722</v>
      </c>
      <c r="C135" s="61">
        <v>344682</v>
      </c>
      <c r="D135" s="60">
        <v>30.694132899168249</v>
      </c>
    </row>
    <row r="136" spans="1:4" x14ac:dyDescent="0.25">
      <c r="A136" s="62">
        <v>46069</v>
      </c>
      <c r="B136" s="60">
        <v>-2.3729036069447695</v>
      </c>
      <c r="C136" s="61">
        <v>217908</v>
      </c>
      <c r="D136" s="60">
        <v>30.769665967642133</v>
      </c>
    </row>
    <row r="137" spans="1:4" x14ac:dyDescent="0.25">
      <c r="A137" s="62">
        <v>46066</v>
      </c>
      <c r="B137" s="60">
        <v>-2.898027503364081</v>
      </c>
      <c r="C137" s="61">
        <v>474002</v>
      </c>
      <c r="D137" s="60">
        <v>29.56153918626449</v>
      </c>
    </row>
    <row r="138" spans="1:4" x14ac:dyDescent="0.25">
      <c r="A138" s="62">
        <v>46065</v>
      </c>
      <c r="B138" s="60">
        <v>-1.7099346877153798</v>
      </c>
      <c r="C138" s="61">
        <v>678624</v>
      </c>
      <c r="D138" s="60">
        <v>33.129311780748097</v>
      </c>
    </row>
    <row r="139" spans="1:4" x14ac:dyDescent="0.25">
      <c r="A139" s="62">
        <v>46064</v>
      </c>
      <c r="B139" s="60">
        <v>-2.8455151137221528</v>
      </c>
      <c r="C139" s="61">
        <v>442080</v>
      </c>
      <c r="D139" s="60">
        <v>32.581713197522014</v>
      </c>
    </row>
    <row r="140" spans="1:4" x14ac:dyDescent="0.25">
      <c r="A140" s="62">
        <v>46063</v>
      </c>
      <c r="B140" s="60">
        <v>-2.9242836981850373</v>
      </c>
      <c r="C140" s="61">
        <v>509638</v>
      </c>
      <c r="D140" s="60">
        <v>30.461543278158082</v>
      </c>
    </row>
    <row r="141" spans="1:4" x14ac:dyDescent="0.25">
      <c r="A141" s="62">
        <v>46062</v>
      </c>
      <c r="B141" s="60">
        <v>-2.3138271685975909</v>
      </c>
      <c r="C141" s="61">
        <v>322208</v>
      </c>
      <c r="D141" s="60">
        <v>30.025632882089393</v>
      </c>
    </row>
    <row r="142" spans="1:4" x14ac:dyDescent="0.25">
      <c r="A142" s="62">
        <v>46059</v>
      </c>
      <c r="B142" s="60">
        <v>-2.2547507302504273</v>
      </c>
      <c r="C142" s="61">
        <v>571034</v>
      </c>
      <c r="D142" s="60">
        <v>26.822298139766843</v>
      </c>
    </row>
    <row r="143" spans="1:4" x14ac:dyDescent="0.25">
      <c r="A143" s="62">
        <v>46058</v>
      </c>
      <c r="B143" s="60">
        <v>-3.5347402277724989</v>
      </c>
      <c r="C143" s="61">
        <v>835235</v>
      </c>
      <c r="D143" s="60">
        <v>27.640897650574683</v>
      </c>
    </row>
    <row r="144" spans="1:4" x14ac:dyDescent="0.25">
      <c r="A144" s="62">
        <v>46057</v>
      </c>
      <c r="B144" s="60">
        <v>-4.1451967573599457</v>
      </c>
      <c r="C144" s="61">
        <v>1787666</v>
      </c>
      <c r="D144" s="60">
        <v>30.377595373872754</v>
      </c>
    </row>
    <row r="145" spans="1:4" x14ac:dyDescent="0.25">
      <c r="A145" s="62">
        <v>46056</v>
      </c>
      <c r="B145" s="60">
        <v>-6.2785125865633979</v>
      </c>
      <c r="C145" s="61">
        <v>1418450</v>
      </c>
      <c r="D145" s="60">
        <v>28.669051331950538</v>
      </c>
    </row>
    <row r="146" spans="1:4" x14ac:dyDescent="0.25">
      <c r="A146" s="62">
        <v>46055</v>
      </c>
      <c r="B146" s="60">
        <v>-7.3156322819915349</v>
      </c>
      <c r="C146" s="61">
        <v>1594471</v>
      </c>
      <c r="D146" s="60">
        <v>24.333126347842029</v>
      </c>
    </row>
    <row r="147" spans="1:4" x14ac:dyDescent="0.25">
      <c r="A147" s="62">
        <v>46054</v>
      </c>
      <c r="B147" s="60">
        <v>-6.5410745347730535</v>
      </c>
      <c r="C147" s="61">
        <v>359819</v>
      </c>
      <c r="D147" s="63" t="s">
        <v>108</v>
      </c>
    </row>
    <row r="148" spans="1:4" x14ac:dyDescent="0.25">
      <c r="A148" s="62">
        <v>46052</v>
      </c>
      <c r="B148" s="60">
        <v>-6.0618989792904356</v>
      </c>
      <c r="C148" s="61">
        <v>722566</v>
      </c>
      <c r="D148" s="60">
        <v>30.050310528682818</v>
      </c>
    </row>
    <row r="149" spans="1:4" x14ac:dyDescent="0.25">
      <c r="A149" s="62">
        <v>46051</v>
      </c>
      <c r="B149" s="60">
        <v>-6.1603597098690566</v>
      </c>
      <c r="C149" s="61">
        <v>820183</v>
      </c>
      <c r="D149" s="60">
        <v>35.185253776255834</v>
      </c>
    </row>
    <row r="150" spans="1:4" x14ac:dyDescent="0.25">
      <c r="A150" s="62">
        <v>46050</v>
      </c>
      <c r="B150" s="60">
        <v>-4.1189405625389739</v>
      </c>
      <c r="C150" s="61">
        <v>824989</v>
      </c>
      <c r="D150" s="60">
        <v>34.855799815321689</v>
      </c>
    </row>
    <row r="151" spans="1:4" x14ac:dyDescent="0.25">
      <c r="A151" s="62">
        <v>46049</v>
      </c>
      <c r="B151" s="60">
        <v>-5.0050871377465622</v>
      </c>
      <c r="C151" s="61">
        <v>405584</v>
      </c>
      <c r="D151" s="60">
        <v>32.105536668878429</v>
      </c>
    </row>
    <row r="152" spans="1:4" x14ac:dyDescent="0.25">
      <c r="A152" s="62">
        <v>46048</v>
      </c>
      <c r="B152" s="63" t="s">
        <v>108</v>
      </c>
      <c r="C152" s="63" t="s">
        <v>108</v>
      </c>
      <c r="D152" s="60">
        <v>31.451616184561271</v>
      </c>
    </row>
    <row r="153" spans="1:4" x14ac:dyDescent="0.25">
      <c r="A153" s="62">
        <v>46045</v>
      </c>
      <c r="B153" s="60">
        <v>-4.959138796809869</v>
      </c>
      <c r="C153" s="61">
        <v>1212874</v>
      </c>
      <c r="D153" s="60">
        <v>29.02506675478767</v>
      </c>
    </row>
    <row r="154" spans="1:4" x14ac:dyDescent="0.25">
      <c r="A154" s="62">
        <v>46044</v>
      </c>
      <c r="B154" s="60">
        <v>-4.6375004102530495</v>
      </c>
      <c r="C154" s="61">
        <v>385508</v>
      </c>
      <c r="D154" s="60">
        <v>28.573195960453077</v>
      </c>
    </row>
    <row r="155" spans="1:4" x14ac:dyDescent="0.25">
      <c r="A155" s="62">
        <v>46043</v>
      </c>
      <c r="B155" s="60">
        <v>-6.6723555088778816</v>
      </c>
      <c r="C155" s="61">
        <v>560841</v>
      </c>
      <c r="D155" s="60">
        <v>28.000398617052884</v>
      </c>
    </row>
    <row r="156" spans="1:4" x14ac:dyDescent="0.25">
      <c r="A156" s="62">
        <v>46042</v>
      </c>
      <c r="B156" s="60">
        <v>-5.7927729823755287</v>
      </c>
      <c r="C156" s="61">
        <v>591626</v>
      </c>
      <c r="D156" s="60">
        <v>27.421760291380785</v>
      </c>
    </row>
    <row r="157" spans="1:4" x14ac:dyDescent="0.25">
      <c r="A157" s="62">
        <v>46041</v>
      </c>
      <c r="B157" s="60">
        <v>-3.1934096950999433</v>
      </c>
      <c r="C157" s="61">
        <v>435942</v>
      </c>
      <c r="D157" s="60">
        <v>28.23709275678808</v>
      </c>
    </row>
    <row r="158" spans="1:4" x14ac:dyDescent="0.25">
      <c r="A158" s="62">
        <v>46038</v>
      </c>
      <c r="B158" s="60">
        <v>-3.0752568184056015</v>
      </c>
      <c r="C158" s="61">
        <v>745534</v>
      </c>
      <c r="D158" s="60">
        <v>27.598831677566555</v>
      </c>
    </row>
    <row r="159" spans="1:4" x14ac:dyDescent="0.25">
      <c r="A159" s="62">
        <v>46037</v>
      </c>
      <c r="B159" s="63" t="s">
        <v>108</v>
      </c>
      <c r="C159" s="63" t="s">
        <v>108</v>
      </c>
      <c r="D159" s="60">
        <v>28.473476728602179</v>
      </c>
    </row>
    <row r="160" spans="1:4" x14ac:dyDescent="0.25">
      <c r="A160" s="62">
        <v>46036</v>
      </c>
      <c r="B160" s="60">
        <v>-1.8477797105254581</v>
      </c>
      <c r="C160" s="61">
        <v>426425</v>
      </c>
      <c r="D160" s="60">
        <v>27.728708020999004</v>
      </c>
    </row>
    <row r="161" spans="1:4" x14ac:dyDescent="0.25">
      <c r="A161" s="62">
        <v>46035</v>
      </c>
      <c r="B161" s="60">
        <v>-1.6114739571367589</v>
      </c>
      <c r="C161" s="61">
        <v>491184</v>
      </c>
      <c r="D161" s="60">
        <v>26.491353782954938</v>
      </c>
    </row>
    <row r="162" spans="1:4" x14ac:dyDescent="0.25">
      <c r="A162" s="62">
        <v>46034</v>
      </c>
      <c r="B162" s="60">
        <v>-1.4867570317371814</v>
      </c>
      <c r="C162" s="61">
        <v>516036</v>
      </c>
      <c r="D162" s="60">
        <v>26.119769920875367</v>
      </c>
    </row>
    <row r="163" spans="1:4" x14ac:dyDescent="0.25">
      <c r="A163" s="62">
        <v>46031</v>
      </c>
      <c r="B163" s="60">
        <v>-2.5698250681020114</v>
      </c>
      <c r="C163" s="61">
        <v>944361</v>
      </c>
      <c r="D163" s="60">
        <v>24.602281684261172</v>
      </c>
    </row>
    <row r="164" spans="1:4" x14ac:dyDescent="0.25">
      <c r="A164" s="62">
        <v>46030</v>
      </c>
      <c r="B164" s="60">
        <v>-1.4867570317371814</v>
      </c>
      <c r="C164" s="61">
        <v>493955</v>
      </c>
      <c r="D164" s="60">
        <v>24.084259074637103</v>
      </c>
    </row>
    <row r="165" spans="1:4" x14ac:dyDescent="0.25">
      <c r="A165" s="62">
        <v>46029</v>
      </c>
      <c r="B165" s="60">
        <v>-0.56779021300338639</v>
      </c>
      <c r="C165" s="61">
        <v>623936</v>
      </c>
      <c r="D165" s="60">
        <v>25.963816183318404</v>
      </c>
    </row>
    <row r="166" spans="1:4" x14ac:dyDescent="0.25">
      <c r="A166" s="62">
        <v>46028</v>
      </c>
      <c r="B166" s="60">
        <v>-1.21106698611704</v>
      </c>
      <c r="C166" s="61">
        <v>393706</v>
      </c>
      <c r="D166" s="60">
        <v>25.074083421877859</v>
      </c>
    </row>
    <row r="167" spans="1:4" x14ac:dyDescent="0.25">
      <c r="A167" s="62">
        <v>46027</v>
      </c>
      <c r="B167" s="60">
        <v>-1.21106698611704</v>
      </c>
      <c r="C167" s="61">
        <v>473909</v>
      </c>
      <c r="D167" s="60">
        <v>22.708866809350145</v>
      </c>
    </row>
    <row r="168" spans="1:4" x14ac:dyDescent="0.25">
      <c r="A168" s="62">
        <v>46024</v>
      </c>
      <c r="B168" s="60">
        <v>-2.9702320391217301</v>
      </c>
      <c r="C168" s="61">
        <v>275319</v>
      </c>
      <c r="D168" s="60">
        <v>22.198121650300401</v>
      </c>
    </row>
    <row r="169" spans="1:4" x14ac:dyDescent="0.25">
      <c r="A169" s="62">
        <v>46023</v>
      </c>
      <c r="B169" s="60">
        <v>-3.5544323738882202</v>
      </c>
      <c r="C169" s="61">
        <v>108609</v>
      </c>
      <c r="D169" s="60">
        <v>21.071066032248481</v>
      </c>
    </row>
    <row r="170" spans="1:4" x14ac:dyDescent="0.25">
      <c r="A170" s="62">
        <v>46022</v>
      </c>
      <c r="B170" s="60">
        <v>-2.6945419935015886</v>
      </c>
      <c r="C170" s="61">
        <v>605718</v>
      </c>
      <c r="D170" s="60">
        <v>20.928415655271355</v>
      </c>
    </row>
    <row r="171" spans="1:4" x14ac:dyDescent="0.25">
      <c r="A171" s="62">
        <v>46021</v>
      </c>
      <c r="B171" s="60">
        <v>-4.7622173356526272</v>
      </c>
      <c r="C171" s="61">
        <v>832687</v>
      </c>
      <c r="D171" s="60">
        <v>20.295033307313208</v>
      </c>
    </row>
    <row r="172" spans="1:4" x14ac:dyDescent="0.25">
      <c r="A172" s="62">
        <v>46020</v>
      </c>
      <c r="B172" s="60">
        <v>-4.6375004102530495</v>
      </c>
      <c r="C172" s="61">
        <v>587342</v>
      </c>
      <c r="D172" s="60">
        <v>19.43802188949811</v>
      </c>
    </row>
    <row r="173" spans="1:4" x14ac:dyDescent="0.25">
      <c r="A173" s="62">
        <v>46017</v>
      </c>
      <c r="B173" s="60">
        <v>-4.2567855853490517</v>
      </c>
      <c r="C173" s="61">
        <v>240983</v>
      </c>
      <c r="D173" s="60">
        <v>19.265318117230407</v>
      </c>
    </row>
    <row r="174" spans="1:4" x14ac:dyDescent="0.25">
      <c r="A174" s="62">
        <v>46016</v>
      </c>
      <c r="B174" s="63" t="s">
        <v>108</v>
      </c>
      <c r="C174" s="63" t="s">
        <v>108</v>
      </c>
      <c r="D174" s="60">
        <v>19.191733460317867</v>
      </c>
    </row>
    <row r="175" spans="1:4" x14ac:dyDescent="0.25">
      <c r="A175" s="62">
        <v>46015</v>
      </c>
      <c r="B175" s="60">
        <v>-5.0444714299780191</v>
      </c>
      <c r="C175" s="61">
        <v>282565</v>
      </c>
      <c r="D175" s="60">
        <v>19.203716731350145</v>
      </c>
    </row>
    <row r="176" spans="1:4" x14ac:dyDescent="0.25">
      <c r="A176" s="62">
        <v>46014</v>
      </c>
      <c r="B176" s="60">
        <v>-4.0270438806656035</v>
      </c>
      <c r="C176" s="61">
        <v>205136</v>
      </c>
      <c r="D176" s="60">
        <v>18.95844320129736</v>
      </c>
    </row>
    <row r="177" spans="1:4" x14ac:dyDescent="0.25">
      <c r="A177" s="62">
        <v>46013</v>
      </c>
      <c r="B177" s="60">
        <v>-4.2174012931175948</v>
      </c>
      <c r="C177" s="61">
        <v>276397</v>
      </c>
      <c r="D177" s="60">
        <v>18.543979359330983</v>
      </c>
    </row>
    <row r="178" spans="1:4" x14ac:dyDescent="0.25">
      <c r="A178" s="62">
        <v>46010</v>
      </c>
      <c r="B178" s="60">
        <v>-4.2764777314647731</v>
      </c>
      <c r="C178" s="61">
        <v>504759</v>
      </c>
      <c r="D178" s="60">
        <v>16.735187344337252</v>
      </c>
    </row>
    <row r="179" spans="1:4" x14ac:dyDescent="0.25">
      <c r="A179" s="62">
        <v>46009</v>
      </c>
      <c r="B179" s="60">
        <v>-4.71626899471595</v>
      </c>
      <c r="C179" s="61">
        <v>258434</v>
      </c>
      <c r="D179" s="60">
        <v>15.21578791664248</v>
      </c>
    </row>
    <row r="180" spans="1:4" x14ac:dyDescent="0.25">
      <c r="A180" s="62">
        <v>46008</v>
      </c>
      <c r="B180" s="60">
        <v>-4.7753454330631131</v>
      </c>
      <c r="C180" s="61">
        <v>259786</v>
      </c>
      <c r="D180" s="60">
        <v>15.493426821764784</v>
      </c>
    </row>
    <row r="181" spans="1:4" x14ac:dyDescent="0.25">
      <c r="A181" s="62">
        <v>46007</v>
      </c>
      <c r="B181" s="60">
        <v>-3.3049985230890502</v>
      </c>
      <c r="C181" s="61">
        <v>326142</v>
      </c>
      <c r="D181" s="60">
        <v>14.527318078324823</v>
      </c>
    </row>
    <row r="182" spans="1:4" x14ac:dyDescent="0.25">
      <c r="A182" s="62">
        <v>46006</v>
      </c>
      <c r="B182" s="60">
        <v>-2.8914634546588305</v>
      </c>
      <c r="C182" s="61">
        <v>494291</v>
      </c>
      <c r="D182" s="60">
        <v>16.483687885493207</v>
      </c>
    </row>
    <row r="183" spans="1:4" x14ac:dyDescent="0.25">
      <c r="A183" s="62">
        <v>46003</v>
      </c>
      <c r="B183" s="60">
        <v>-3.0621287209951156</v>
      </c>
      <c r="C183" s="61">
        <v>332259</v>
      </c>
      <c r="D183" s="60">
        <v>16.556484339374634</v>
      </c>
    </row>
    <row r="184" spans="1:4" x14ac:dyDescent="0.25">
      <c r="A184" s="62">
        <v>46002</v>
      </c>
      <c r="B184" s="60">
        <v>-3.6791492992877974</v>
      </c>
      <c r="C184" s="61">
        <v>148263</v>
      </c>
      <c r="D184" s="60">
        <v>14.466003683286754</v>
      </c>
    </row>
    <row r="185" spans="1:4" x14ac:dyDescent="0.25">
      <c r="A185" s="62">
        <v>46001</v>
      </c>
      <c r="B185" s="60">
        <v>-4.4471429978010439</v>
      </c>
      <c r="C185" s="61">
        <v>458850</v>
      </c>
      <c r="D185" s="60">
        <v>14.872284120113962</v>
      </c>
    </row>
    <row r="186" spans="1:4" x14ac:dyDescent="0.25">
      <c r="A186" s="62">
        <v>46000</v>
      </c>
      <c r="B186" s="60">
        <v>-4.1780170008861521</v>
      </c>
      <c r="C186" s="61">
        <v>325894</v>
      </c>
      <c r="D186" s="60">
        <v>14.468472604804212</v>
      </c>
    </row>
    <row r="187" spans="1:4" x14ac:dyDescent="0.25">
      <c r="A187" s="62">
        <v>45999</v>
      </c>
      <c r="B187" s="60">
        <v>-4.4208868029800872</v>
      </c>
      <c r="C187" s="61">
        <v>343005</v>
      </c>
      <c r="D187" s="60">
        <v>16.043862789126983</v>
      </c>
    </row>
    <row r="188" spans="1:4" x14ac:dyDescent="0.25">
      <c r="A188" s="62">
        <v>45996</v>
      </c>
      <c r="B188" s="60">
        <v>-3.1737175489842224</v>
      </c>
      <c r="C188" s="61">
        <v>328473</v>
      </c>
      <c r="D188" s="60">
        <v>17.032593256711106</v>
      </c>
    </row>
    <row r="189" spans="1:4" x14ac:dyDescent="0.25">
      <c r="A189" s="62">
        <v>45995</v>
      </c>
      <c r="B189" s="60">
        <v>-2.5435688732810395</v>
      </c>
      <c r="C189" s="61">
        <v>308126</v>
      </c>
      <c r="D189" s="60">
        <v>15.93199853172041</v>
      </c>
    </row>
    <row r="190" spans="1:4" x14ac:dyDescent="0.25">
      <c r="A190" s="62">
        <v>45994</v>
      </c>
      <c r="B190" s="60">
        <v>-2.9439758443007737</v>
      </c>
      <c r="C190" s="61">
        <v>717275</v>
      </c>
      <c r="D190" s="60">
        <v>16.342338069606232</v>
      </c>
    </row>
    <row r="191" spans="1:4" x14ac:dyDescent="0.25">
      <c r="A191" s="62">
        <v>45993</v>
      </c>
      <c r="B191" s="60">
        <v>-3.5806885687091765</v>
      </c>
      <c r="C191" s="61">
        <v>586303</v>
      </c>
      <c r="D191" s="60">
        <v>16.279671232002233</v>
      </c>
    </row>
    <row r="192" spans="1:4" x14ac:dyDescent="0.25">
      <c r="A192" s="62">
        <v>45992</v>
      </c>
      <c r="B192" s="60">
        <v>-3.600380714824913</v>
      </c>
      <c r="C192" s="61">
        <v>197122</v>
      </c>
      <c r="D192" s="60">
        <v>16.134746377721864</v>
      </c>
    </row>
    <row r="193" spans="1:4" x14ac:dyDescent="0.25">
      <c r="A193" s="62">
        <v>45989</v>
      </c>
      <c r="B193" s="60">
        <v>-3.5216121303620134</v>
      </c>
      <c r="C193" s="61">
        <v>380330</v>
      </c>
      <c r="D193" s="60">
        <v>14.626840164644015</v>
      </c>
    </row>
    <row r="194" spans="1:4" x14ac:dyDescent="0.25">
      <c r="A194" s="62">
        <v>45988</v>
      </c>
      <c r="B194" s="60">
        <v>-3.3575109127309783</v>
      </c>
      <c r="C194" s="61">
        <v>421269</v>
      </c>
      <c r="D194" s="60">
        <v>14.101211739523725</v>
      </c>
    </row>
    <row r="195" spans="1:4" x14ac:dyDescent="0.25">
      <c r="A195" s="62">
        <v>45987</v>
      </c>
      <c r="B195" s="60">
        <v>-2.5632610193967609</v>
      </c>
      <c r="C195" s="61">
        <v>371398</v>
      </c>
      <c r="D195" s="60">
        <v>13.471445576006374</v>
      </c>
    </row>
    <row r="196" spans="1:4" x14ac:dyDescent="0.25">
      <c r="A196" s="62">
        <v>45986</v>
      </c>
      <c r="B196" s="60">
        <v>-3.7316616889297407</v>
      </c>
      <c r="C196" s="61">
        <v>449171</v>
      </c>
      <c r="D196" s="60">
        <v>12.751097256098339</v>
      </c>
    </row>
    <row r="197" spans="1:4" x14ac:dyDescent="0.25">
      <c r="A197" s="62">
        <v>45985</v>
      </c>
      <c r="B197" s="60">
        <v>-3.9679674423184248</v>
      </c>
      <c r="C197" s="61">
        <v>3427226</v>
      </c>
      <c r="D197" s="60">
        <v>12.001318723315746</v>
      </c>
    </row>
    <row r="198" spans="1:4" x14ac:dyDescent="0.25">
      <c r="A198" s="62">
        <v>45982</v>
      </c>
      <c r="B198" s="60">
        <v>-3.3706390101414643</v>
      </c>
      <c r="C198" s="61">
        <v>331504</v>
      </c>
      <c r="D198" s="60">
        <v>11.688067264021329</v>
      </c>
    </row>
    <row r="199" spans="1:4" x14ac:dyDescent="0.25">
      <c r="A199" s="62">
        <v>45981</v>
      </c>
      <c r="B199" s="60">
        <v>-2.2613147789556627</v>
      </c>
      <c r="C199" s="61">
        <v>829582</v>
      </c>
      <c r="D199" s="60">
        <v>14.9969779383309</v>
      </c>
    </row>
    <row r="200" spans="1:4" x14ac:dyDescent="0.25">
      <c r="A200" s="62">
        <v>45980</v>
      </c>
      <c r="B200" s="60">
        <v>-3.068692769700351</v>
      </c>
      <c r="C200" s="61">
        <v>631671</v>
      </c>
      <c r="D200" s="60">
        <v>15.035314016862944</v>
      </c>
    </row>
    <row r="201" spans="1:4" x14ac:dyDescent="0.25">
      <c r="A201" s="62">
        <v>45979</v>
      </c>
      <c r="B201" s="60">
        <v>-2.1300338048508349</v>
      </c>
      <c r="C201" s="61">
        <v>1135472</v>
      </c>
      <c r="D201" s="60">
        <v>14.752066994689574</v>
      </c>
    </row>
    <row r="202" spans="1:4" x14ac:dyDescent="0.25">
      <c r="A202" s="62">
        <v>45978</v>
      </c>
      <c r="B202" s="60">
        <v>-3.1474613541632506</v>
      </c>
      <c r="C202" s="61">
        <v>898284</v>
      </c>
      <c r="D202" s="60">
        <v>17.125475013026065</v>
      </c>
    </row>
    <row r="203" spans="1:4" x14ac:dyDescent="0.25">
      <c r="A203" s="62">
        <v>45975</v>
      </c>
      <c r="B203" s="60">
        <v>-4.1780170008861521</v>
      </c>
      <c r="C203" s="61">
        <v>549299</v>
      </c>
      <c r="D203" s="60">
        <v>17.688853398480386</v>
      </c>
    </row>
    <row r="204" spans="1:4" x14ac:dyDescent="0.25">
      <c r="A204" s="62">
        <v>45974</v>
      </c>
      <c r="B204" s="60">
        <v>-2.7601824805540027</v>
      </c>
      <c r="C204" s="61">
        <v>798904</v>
      </c>
      <c r="D204" s="60">
        <v>19.29713264593558</v>
      </c>
    </row>
    <row r="205" spans="1:4" x14ac:dyDescent="0.25">
      <c r="A205" s="62">
        <v>45973</v>
      </c>
      <c r="B205" s="60">
        <v>-2.72079818832256</v>
      </c>
      <c r="C205" s="61">
        <v>417016</v>
      </c>
      <c r="D205" s="60">
        <v>17.188672552820268</v>
      </c>
    </row>
    <row r="206" spans="1:4" x14ac:dyDescent="0.25">
      <c r="A206" s="62">
        <v>45972</v>
      </c>
      <c r="B206" s="60">
        <v>-3.318126620499521</v>
      </c>
      <c r="C206" s="61">
        <v>292665</v>
      </c>
      <c r="D206" s="60">
        <v>16.722096075354326</v>
      </c>
    </row>
    <row r="207" spans="1:4" x14ac:dyDescent="0.25">
      <c r="A207" s="62">
        <v>45971</v>
      </c>
      <c r="B207" s="60">
        <v>-4.3880665594538799</v>
      </c>
      <c r="C207" s="61">
        <v>283000</v>
      </c>
      <c r="D207" s="60">
        <v>16.463153392255695</v>
      </c>
    </row>
    <row r="208" spans="1:4" x14ac:dyDescent="0.25">
      <c r="A208" s="62">
        <v>45968</v>
      </c>
      <c r="B208" s="60">
        <v>-4.5062194361482222</v>
      </c>
      <c r="C208" s="61">
        <v>533597</v>
      </c>
      <c r="D208" s="60">
        <v>15.566536217798811</v>
      </c>
    </row>
    <row r="209" spans="1:4" x14ac:dyDescent="0.25">
      <c r="A209" s="62">
        <v>45967</v>
      </c>
      <c r="B209" s="60">
        <v>-5.2939052807771896</v>
      </c>
      <c r="C209" s="61">
        <v>692357</v>
      </c>
      <c r="D209" s="60">
        <v>14.747343267971027</v>
      </c>
    </row>
    <row r="210" spans="1:4" x14ac:dyDescent="0.25">
      <c r="A210" s="62">
        <v>45966</v>
      </c>
      <c r="B210" s="63" t="s">
        <v>108</v>
      </c>
      <c r="C210" s="63" t="s">
        <v>108</v>
      </c>
      <c r="D210" s="60">
        <v>13.640195732279313</v>
      </c>
    </row>
    <row r="211" spans="1:4" x14ac:dyDescent="0.25">
      <c r="A211" s="62">
        <v>45965</v>
      </c>
      <c r="B211" s="60">
        <v>-4.4799632413272503</v>
      </c>
      <c r="C211" s="61">
        <v>707089</v>
      </c>
      <c r="D211" s="60">
        <v>13.159226571524526</v>
      </c>
    </row>
    <row r="212" spans="1:4" x14ac:dyDescent="0.25">
      <c r="A212" s="62">
        <v>45964</v>
      </c>
      <c r="B212" s="60">
        <v>-4.1320686599494598</v>
      </c>
      <c r="C212" s="61">
        <v>677950</v>
      </c>
      <c r="D212" s="60">
        <v>15.321778982255944</v>
      </c>
    </row>
    <row r="213" spans="1:4" x14ac:dyDescent="0.25">
      <c r="A213" s="62">
        <v>45961</v>
      </c>
      <c r="B213" s="60">
        <v>-5.1757524040828473</v>
      </c>
      <c r="C213" s="61">
        <v>1720635</v>
      </c>
      <c r="D213" s="60">
        <v>15.297196487019864</v>
      </c>
    </row>
    <row r="214" spans="1:4" x14ac:dyDescent="0.25">
      <c r="A214" s="62">
        <v>45960</v>
      </c>
      <c r="B214" s="60">
        <v>-2.4319800452919331</v>
      </c>
      <c r="C214" s="61">
        <v>813850</v>
      </c>
      <c r="D214" s="60">
        <v>16.474437363092886</v>
      </c>
    </row>
    <row r="215" spans="1:4" x14ac:dyDescent="0.25">
      <c r="A215" s="62">
        <v>45959</v>
      </c>
      <c r="B215" s="60">
        <v>-1.0600938658964909</v>
      </c>
      <c r="C215" s="61">
        <v>489526</v>
      </c>
      <c r="D215" s="60">
        <v>15.656703914766084</v>
      </c>
    </row>
    <row r="216" spans="1:4" x14ac:dyDescent="0.25">
      <c r="A216" s="62">
        <v>45958</v>
      </c>
      <c r="B216" s="60">
        <v>-2.0643933177984208</v>
      </c>
      <c r="C216" s="61">
        <v>670631</v>
      </c>
      <c r="D216" s="60">
        <v>14.883734071497017</v>
      </c>
    </row>
    <row r="217" spans="1:4" x14ac:dyDescent="0.25">
      <c r="A217" s="62">
        <v>45957</v>
      </c>
      <c r="B217" s="60">
        <v>-1.2504512783484822</v>
      </c>
      <c r="C217" s="61">
        <v>522205</v>
      </c>
      <c r="D217" s="60">
        <v>15.841894570739971</v>
      </c>
    </row>
    <row r="218" spans="1:4" x14ac:dyDescent="0.25">
      <c r="A218" s="62">
        <v>45954</v>
      </c>
      <c r="B218" s="60">
        <v>-1.0732219633069766</v>
      </c>
      <c r="C218" s="61">
        <v>414542</v>
      </c>
      <c r="D218" s="60">
        <v>14.954817325811161</v>
      </c>
    </row>
    <row r="219" spans="1:4" x14ac:dyDescent="0.25">
      <c r="A219" s="62">
        <v>45953</v>
      </c>
      <c r="B219" s="60">
        <v>-0.41681709278283741</v>
      </c>
      <c r="C219" s="61">
        <v>423185</v>
      </c>
      <c r="D219" s="60">
        <v>14.353536721688931</v>
      </c>
    </row>
    <row r="220" spans="1:4" x14ac:dyDescent="0.25">
      <c r="A220" s="62">
        <v>45952</v>
      </c>
      <c r="B220" s="63" t="s">
        <v>108</v>
      </c>
      <c r="C220" s="63" t="s">
        <v>108</v>
      </c>
      <c r="D220" s="60">
        <v>14.068674157417913</v>
      </c>
    </row>
    <row r="221" spans="1:4" x14ac:dyDescent="0.25">
      <c r="A221" s="62">
        <v>45951</v>
      </c>
      <c r="B221" s="60">
        <v>0.5612261642981361</v>
      </c>
      <c r="C221" s="61">
        <v>62310</v>
      </c>
      <c r="D221" s="60">
        <v>14.591275760715931</v>
      </c>
    </row>
    <row r="222" spans="1:4" x14ac:dyDescent="0.25">
      <c r="A222" s="62">
        <v>45950</v>
      </c>
      <c r="B222" s="60">
        <v>0.18707538809937371</v>
      </c>
      <c r="C222" s="61">
        <v>323401</v>
      </c>
      <c r="D222" s="60">
        <v>14.108306189122965</v>
      </c>
    </row>
    <row r="223" spans="1:4" x14ac:dyDescent="0.25">
      <c r="A223" s="62">
        <v>45947</v>
      </c>
      <c r="B223" s="60">
        <v>1.2635793757589682</v>
      </c>
      <c r="C223" s="61">
        <v>818953</v>
      </c>
      <c r="D223" s="60">
        <v>14.285503744646563</v>
      </c>
    </row>
    <row r="224" spans="1:4" x14ac:dyDescent="0.25">
      <c r="A224" s="62">
        <v>45946</v>
      </c>
      <c r="B224" s="60">
        <v>-2.9538219173589252E-2</v>
      </c>
      <c r="C224" s="61">
        <v>492506</v>
      </c>
      <c r="D224" s="60">
        <v>15.867426805625563</v>
      </c>
    </row>
    <row r="225" spans="1:4" x14ac:dyDescent="0.25">
      <c r="A225" s="62">
        <v>45945</v>
      </c>
      <c r="B225" s="60">
        <v>-1.4867570317371814</v>
      </c>
      <c r="C225" s="61">
        <v>415150</v>
      </c>
      <c r="D225" s="60">
        <v>15.834801701972685</v>
      </c>
    </row>
    <row r="226" spans="1:4" x14ac:dyDescent="0.25">
      <c r="A226" s="62">
        <v>45944</v>
      </c>
      <c r="B226" s="60">
        <v>-2.116905707440349</v>
      </c>
      <c r="C226" s="61">
        <v>258073</v>
      </c>
      <c r="D226" s="60">
        <v>14.134660280459237</v>
      </c>
    </row>
    <row r="227" spans="1:4" x14ac:dyDescent="0.25">
      <c r="A227" s="62">
        <v>45943</v>
      </c>
      <c r="B227" s="60">
        <v>-0.65312284617152161</v>
      </c>
      <c r="C227" s="61">
        <v>436390</v>
      </c>
      <c r="D227" s="60">
        <v>16.873396349544247</v>
      </c>
    </row>
    <row r="228" spans="1:4" x14ac:dyDescent="0.25">
      <c r="A228" s="62">
        <v>45940</v>
      </c>
      <c r="B228" s="60">
        <v>-0.84348025862352793</v>
      </c>
      <c r="C228" s="61">
        <v>476671</v>
      </c>
      <c r="D228" s="60">
        <v>16.568813622404367</v>
      </c>
    </row>
    <row r="229" spans="1:4" x14ac:dyDescent="0.25">
      <c r="A229" s="62">
        <v>45939</v>
      </c>
      <c r="B229" s="60">
        <v>-0.85660835603399876</v>
      </c>
      <c r="C229" s="61">
        <v>543793</v>
      </c>
      <c r="D229" s="60">
        <v>17.987421818056319</v>
      </c>
    </row>
    <row r="230" spans="1:4" x14ac:dyDescent="0.25">
      <c r="A230" s="62">
        <v>45938</v>
      </c>
      <c r="B230" s="60">
        <v>-1.9528044898093144</v>
      </c>
      <c r="C230" s="61">
        <v>1023522</v>
      </c>
      <c r="D230" s="60">
        <v>15.438836810722254</v>
      </c>
    </row>
    <row r="231" spans="1:4" x14ac:dyDescent="0.25">
      <c r="A231" s="62">
        <v>45937</v>
      </c>
      <c r="B231" s="60">
        <v>-3.4494075946043488</v>
      </c>
      <c r="C231" s="61">
        <v>725776</v>
      </c>
      <c r="D231" s="60">
        <v>15.212309080846509</v>
      </c>
    </row>
    <row r="232" spans="1:4" x14ac:dyDescent="0.25">
      <c r="A232" s="62">
        <v>45936</v>
      </c>
      <c r="B232" s="60">
        <v>-2.2613147789556627</v>
      </c>
      <c r="C232" s="61">
        <v>425656</v>
      </c>
      <c r="D232" s="60">
        <v>15.118431037942639</v>
      </c>
    </row>
    <row r="233" spans="1:4" x14ac:dyDescent="0.25">
      <c r="A233" s="62">
        <v>45933</v>
      </c>
      <c r="B233" s="60">
        <v>-2.2219304867242204</v>
      </c>
      <c r="C233" s="61">
        <v>778524</v>
      </c>
      <c r="D233" s="60">
        <v>14.970720208983845</v>
      </c>
    </row>
    <row r="234" spans="1:4" x14ac:dyDescent="0.25">
      <c r="A234" s="62">
        <v>45932</v>
      </c>
      <c r="B234" s="63" t="s">
        <v>108</v>
      </c>
      <c r="C234" s="63" t="s">
        <v>108</v>
      </c>
      <c r="D234" s="60">
        <v>14.538140132379853</v>
      </c>
    </row>
    <row r="235" spans="1:4" x14ac:dyDescent="0.25">
      <c r="A235" s="62">
        <v>45931</v>
      </c>
      <c r="B235" s="60">
        <v>-3.154025402868486</v>
      </c>
      <c r="C235" s="61">
        <v>888183</v>
      </c>
      <c r="D235" s="60">
        <v>13.988101176023395</v>
      </c>
    </row>
    <row r="236" spans="1:4" x14ac:dyDescent="0.25">
      <c r="A236" s="62">
        <v>45930</v>
      </c>
      <c r="B236" s="60">
        <v>-3.6397650070563552</v>
      </c>
      <c r="C236" s="61">
        <v>722168</v>
      </c>
      <c r="D236" s="60">
        <v>13.73836707014722</v>
      </c>
    </row>
    <row r="237" spans="1:4" x14ac:dyDescent="0.25">
      <c r="A237" s="62">
        <v>45929</v>
      </c>
      <c r="B237" s="60">
        <v>-3.7185335915192548</v>
      </c>
      <c r="C237" s="61">
        <v>984535</v>
      </c>
      <c r="D237" s="60">
        <v>12.552901991268659</v>
      </c>
    </row>
    <row r="238" spans="1:4" x14ac:dyDescent="0.25">
      <c r="A238" s="62">
        <v>45926</v>
      </c>
      <c r="B238" s="60">
        <v>-3.1934096950999433</v>
      </c>
      <c r="C238" s="61">
        <v>731234</v>
      </c>
      <c r="D238" s="60">
        <v>10.875781149289637</v>
      </c>
    </row>
    <row r="239" spans="1:4" x14ac:dyDescent="0.25">
      <c r="A239" s="62">
        <v>45925</v>
      </c>
      <c r="B239" s="60">
        <v>-1.8215235157044865</v>
      </c>
      <c r="C239" s="61">
        <v>554053</v>
      </c>
      <c r="D239" s="60">
        <v>11.927777926243351</v>
      </c>
    </row>
    <row r="240" spans="1:4" x14ac:dyDescent="0.25">
      <c r="A240" s="62">
        <v>45924</v>
      </c>
      <c r="B240" s="60">
        <v>-0.25927992385703802</v>
      </c>
      <c r="C240" s="61">
        <v>540982</v>
      </c>
      <c r="D240" s="60">
        <v>11.650841337686364</v>
      </c>
    </row>
    <row r="241" spans="1:4" x14ac:dyDescent="0.25">
      <c r="A241" s="62">
        <v>45923</v>
      </c>
      <c r="B241" s="60">
        <v>-2.2416226328399418</v>
      </c>
      <c r="C241" s="61">
        <v>810500</v>
      </c>
      <c r="D241" s="60">
        <v>11.604343407735895</v>
      </c>
    </row>
    <row r="242" spans="1:4" x14ac:dyDescent="0.25">
      <c r="A242" s="62">
        <v>45922</v>
      </c>
      <c r="B242" s="60">
        <v>-0.29210016738324496</v>
      </c>
      <c r="C242" s="61">
        <v>736500</v>
      </c>
      <c r="D242" s="60">
        <v>12.212972384350094</v>
      </c>
    </row>
    <row r="243" spans="1:4" x14ac:dyDescent="0.25">
      <c r="A243" s="62">
        <v>45919</v>
      </c>
      <c r="B243" s="60">
        <v>4.5948340936692735E-2</v>
      </c>
      <c r="C243" s="61">
        <v>826712</v>
      </c>
      <c r="D243" s="60">
        <v>12.020699688747261</v>
      </c>
    </row>
    <row r="244" spans="1:4" x14ac:dyDescent="0.25">
      <c r="A244" s="62">
        <v>45918</v>
      </c>
      <c r="B244" s="60">
        <v>0.23958777774130188</v>
      </c>
      <c r="C244" s="61">
        <v>1191302</v>
      </c>
      <c r="D244" s="60">
        <v>11.33619846659297</v>
      </c>
    </row>
    <row r="245" spans="1:4" x14ac:dyDescent="0.25">
      <c r="A245" s="62">
        <v>45917</v>
      </c>
      <c r="B245" s="60">
        <v>0.49558567724572217</v>
      </c>
      <c r="C245" s="61">
        <v>491174</v>
      </c>
      <c r="D245" s="60">
        <v>12.420000193667502</v>
      </c>
    </row>
    <row r="246" spans="1:4" x14ac:dyDescent="0.25">
      <c r="A246" s="62">
        <v>45916</v>
      </c>
      <c r="B246" s="60">
        <v>0.8894285995602057</v>
      </c>
      <c r="C246" s="61">
        <v>424184</v>
      </c>
      <c r="D246" s="60">
        <v>12.08253334082897</v>
      </c>
    </row>
    <row r="247" spans="1:4" x14ac:dyDescent="0.25">
      <c r="A247" s="62">
        <v>45915</v>
      </c>
      <c r="B247" s="60">
        <v>0.89271062391282341</v>
      </c>
      <c r="C247" s="61">
        <v>366894</v>
      </c>
      <c r="D247" s="60">
        <v>11.948494415750254</v>
      </c>
    </row>
    <row r="248" spans="1:4" x14ac:dyDescent="0.25">
      <c r="A248" s="62">
        <v>45912</v>
      </c>
      <c r="B248" s="60">
        <v>1.0502477928386229</v>
      </c>
      <c r="C248" s="61">
        <v>388750</v>
      </c>
      <c r="D248" s="60">
        <v>12.108433318602028</v>
      </c>
    </row>
    <row r="249" spans="1:4" x14ac:dyDescent="0.25">
      <c r="A249" s="62">
        <v>45911</v>
      </c>
      <c r="B249" s="60">
        <v>1.079786012012212</v>
      </c>
      <c r="C249" s="61">
        <v>307008</v>
      </c>
      <c r="D249" s="60">
        <v>10.877491005146446</v>
      </c>
    </row>
    <row r="250" spans="1:4" x14ac:dyDescent="0.25">
      <c r="A250" s="62">
        <v>45910</v>
      </c>
      <c r="B250" s="60">
        <v>0.77783977157109907</v>
      </c>
      <c r="C250" s="61">
        <v>338108</v>
      </c>
      <c r="D250" s="60">
        <v>10.638998714928858</v>
      </c>
    </row>
    <row r="251" spans="1:4" x14ac:dyDescent="0.25">
      <c r="A251" s="62">
        <v>45909</v>
      </c>
      <c r="B251" s="60">
        <v>1.7460369555942046</v>
      </c>
      <c r="C251" s="61">
        <v>615658</v>
      </c>
      <c r="D251" s="60">
        <v>10.75634493220999</v>
      </c>
    </row>
    <row r="252" spans="1:4" x14ac:dyDescent="0.25">
      <c r="A252" s="62">
        <v>45908</v>
      </c>
      <c r="B252" s="60">
        <v>1.8674718566411792</v>
      </c>
      <c r="C252" s="61">
        <v>217014</v>
      </c>
      <c r="D252" s="60">
        <v>10.309065609106517</v>
      </c>
    </row>
    <row r="253" spans="1:4" x14ac:dyDescent="0.25">
      <c r="A253" s="62">
        <v>45905</v>
      </c>
      <c r="B253" s="60">
        <v>1.5819357379631698</v>
      </c>
      <c r="C253" s="61">
        <v>224508</v>
      </c>
      <c r="D253" s="60">
        <v>9.882902691540755</v>
      </c>
    </row>
    <row r="254" spans="1:4" x14ac:dyDescent="0.25">
      <c r="A254" s="62">
        <v>45904</v>
      </c>
      <c r="B254" s="60">
        <v>2.3696215825921367</v>
      </c>
      <c r="C254" s="61">
        <v>860810</v>
      </c>
      <c r="D254" s="60">
        <v>8.3770794164870317</v>
      </c>
    </row>
    <row r="255" spans="1:4" x14ac:dyDescent="0.25">
      <c r="A255" s="62">
        <v>45903</v>
      </c>
      <c r="B255" s="60">
        <v>2.1365978535560703</v>
      </c>
      <c r="C255" s="61">
        <v>433852</v>
      </c>
      <c r="D255" s="60">
        <v>9.9273678531139193</v>
      </c>
    </row>
    <row r="256" spans="1:4" x14ac:dyDescent="0.25">
      <c r="A256" s="62">
        <v>45902</v>
      </c>
      <c r="B256" s="60">
        <v>2.628901506449175</v>
      </c>
      <c r="C256" s="61">
        <v>370084</v>
      </c>
      <c r="D256" s="60">
        <v>9.1546906103139172</v>
      </c>
    </row>
    <row r="257" spans="1:4" x14ac:dyDescent="0.25">
      <c r="A257" s="62">
        <v>45901</v>
      </c>
      <c r="B257" s="60">
        <v>2.5763891168072468</v>
      </c>
      <c r="C257" s="61">
        <v>482682</v>
      </c>
      <c r="D257" s="60">
        <v>9.6571153149725948</v>
      </c>
    </row>
    <row r="258" spans="1:4" x14ac:dyDescent="0.25">
      <c r="A258" s="62">
        <v>45898</v>
      </c>
      <c r="B258" s="60">
        <v>0.11158882798910666</v>
      </c>
      <c r="C258" s="61">
        <v>654086</v>
      </c>
      <c r="D258" s="60">
        <v>7.9958197019020041</v>
      </c>
    </row>
    <row r="259" spans="1:4" x14ac:dyDescent="0.25">
      <c r="A259" s="62">
        <v>45897</v>
      </c>
      <c r="B259" s="60">
        <v>0.52512389641931145</v>
      </c>
      <c r="C259" s="61">
        <v>372480</v>
      </c>
      <c r="D259" s="60">
        <v>7.7138752503543841</v>
      </c>
    </row>
    <row r="260" spans="1:4" x14ac:dyDescent="0.25">
      <c r="A260" s="62">
        <v>45896</v>
      </c>
      <c r="B260" s="63" t="s">
        <v>108</v>
      </c>
      <c r="C260" s="63" t="s">
        <v>108</v>
      </c>
      <c r="D260" s="60">
        <v>7.99474316177972</v>
      </c>
    </row>
    <row r="261" spans="1:4" x14ac:dyDescent="0.25">
      <c r="A261" s="62">
        <v>45895</v>
      </c>
      <c r="B261" s="60">
        <v>1.7558830286520726</v>
      </c>
      <c r="C261" s="61">
        <v>1389672</v>
      </c>
      <c r="D261" s="60">
        <v>8.4262658311192205</v>
      </c>
    </row>
    <row r="262" spans="1:4" x14ac:dyDescent="0.25">
      <c r="A262" s="62">
        <v>45894</v>
      </c>
      <c r="B262" s="60">
        <v>1.9724966359250355</v>
      </c>
      <c r="C262" s="61">
        <v>731340</v>
      </c>
      <c r="D262" s="60">
        <v>8.9647928482804584</v>
      </c>
    </row>
    <row r="263" spans="1:4" x14ac:dyDescent="0.25">
      <c r="A263" s="62">
        <v>45891</v>
      </c>
      <c r="B263" s="60">
        <v>1.3226558141061318</v>
      </c>
      <c r="C263" s="61">
        <v>715582</v>
      </c>
      <c r="D263" s="60">
        <v>7.3410575401771121</v>
      </c>
    </row>
    <row r="264" spans="1:4" x14ac:dyDescent="0.25">
      <c r="A264" s="62">
        <v>45890</v>
      </c>
      <c r="B264" s="60">
        <v>1.0535298171912406</v>
      </c>
      <c r="C264" s="61">
        <v>236826</v>
      </c>
      <c r="D264" s="60">
        <v>7.937064649774368</v>
      </c>
    </row>
    <row r="265" spans="1:4" x14ac:dyDescent="0.25">
      <c r="A265" s="62">
        <v>45889</v>
      </c>
      <c r="B265" s="60">
        <v>1.2373231809379965</v>
      </c>
      <c r="C265" s="61">
        <v>153754</v>
      </c>
      <c r="D265" s="60">
        <v>7.7887868852951625</v>
      </c>
    </row>
    <row r="266" spans="1:4" x14ac:dyDescent="0.25">
      <c r="A266" s="62">
        <v>45888</v>
      </c>
      <c r="B266" s="60">
        <v>1.5852177623157875</v>
      </c>
      <c r="C266" s="61">
        <v>569624</v>
      </c>
      <c r="D266" s="60">
        <v>7.4973301729396225</v>
      </c>
    </row>
    <row r="267" spans="1:4" x14ac:dyDescent="0.25">
      <c r="A267" s="62">
        <v>45887</v>
      </c>
      <c r="B267" s="60">
        <v>0.98460730578620892</v>
      </c>
      <c r="C267" s="61">
        <v>511870</v>
      </c>
      <c r="D267" s="60">
        <v>7.6463061512526407</v>
      </c>
    </row>
    <row r="268" spans="1:4" x14ac:dyDescent="0.25">
      <c r="A268" s="62">
        <v>45884</v>
      </c>
      <c r="B268" s="63" t="s">
        <v>108</v>
      </c>
      <c r="C268" s="63" t="s">
        <v>108</v>
      </c>
      <c r="D268" s="60">
        <v>6.4137520118060429</v>
      </c>
    </row>
    <row r="269" spans="1:4" x14ac:dyDescent="0.25">
      <c r="A269" s="62">
        <v>45883</v>
      </c>
      <c r="B269" s="60">
        <v>1.2635793757589682</v>
      </c>
      <c r="C269" s="61">
        <v>772046</v>
      </c>
      <c r="D269" s="60">
        <v>5.5289040845598461</v>
      </c>
    </row>
    <row r="270" spans="1:4" x14ac:dyDescent="0.25">
      <c r="A270" s="62">
        <v>45882</v>
      </c>
      <c r="B270" s="60">
        <v>0.49230365289310446</v>
      </c>
      <c r="C270" s="61">
        <v>511880</v>
      </c>
      <c r="D270" s="60">
        <v>6.0927134381678121</v>
      </c>
    </row>
    <row r="271" spans="1:4" x14ac:dyDescent="0.25">
      <c r="A271" s="62">
        <v>45881</v>
      </c>
      <c r="B271" s="60">
        <v>1.7919852965308973</v>
      </c>
      <c r="C271" s="61">
        <v>598262</v>
      </c>
      <c r="D271" s="60">
        <v>5.0214398716960211</v>
      </c>
    </row>
    <row r="272" spans="1:4" x14ac:dyDescent="0.25">
      <c r="A272" s="62">
        <v>45880</v>
      </c>
      <c r="B272" s="60">
        <v>1.6377301519577305</v>
      </c>
      <c r="C272" s="61">
        <v>648830</v>
      </c>
      <c r="D272" s="60">
        <v>4.8610434730738756</v>
      </c>
    </row>
    <row r="273" spans="1:4" x14ac:dyDescent="0.25">
      <c r="A273" s="62">
        <v>45877</v>
      </c>
      <c r="B273" s="60">
        <v>1.1290163773015225</v>
      </c>
      <c r="C273" s="61">
        <v>1275428</v>
      </c>
      <c r="D273" s="60">
        <v>4.4146476676289863</v>
      </c>
    </row>
    <row r="274" spans="1:4" x14ac:dyDescent="0.25">
      <c r="A274" s="62">
        <v>45876</v>
      </c>
      <c r="B274" s="60">
        <v>0.12799894975221016</v>
      </c>
      <c r="C274" s="61">
        <v>2353820</v>
      </c>
      <c r="D274" s="60">
        <v>4.6498616132592785</v>
      </c>
    </row>
    <row r="275" spans="1:4" x14ac:dyDescent="0.25">
      <c r="A275" s="62">
        <v>45875</v>
      </c>
      <c r="B275" s="60">
        <v>-0.16738324198365254</v>
      </c>
      <c r="C275" s="61">
        <v>1638232</v>
      </c>
      <c r="D275" s="60">
        <v>4.1820783691677574</v>
      </c>
    </row>
    <row r="276" spans="1:4" x14ac:dyDescent="0.25">
      <c r="A276" s="62">
        <v>45874</v>
      </c>
      <c r="B276" s="60">
        <v>-1.6180380058420092</v>
      </c>
      <c r="C276" s="61">
        <v>1155166</v>
      </c>
      <c r="D276" s="60">
        <v>3.910982733786101</v>
      </c>
    </row>
    <row r="277" spans="1:4" x14ac:dyDescent="0.25">
      <c r="A277" s="62">
        <v>45873</v>
      </c>
      <c r="B277" s="60">
        <v>-3.1212051593422792</v>
      </c>
      <c r="C277" s="61">
        <v>817016</v>
      </c>
      <c r="D277" s="60">
        <v>3.5250903328953713</v>
      </c>
    </row>
    <row r="278" spans="1:4" x14ac:dyDescent="0.25">
      <c r="A278" s="62">
        <v>45870</v>
      </c>
      <c r="B278" s="60">
        <v>-6.1702057829269092</v>
      </c>
      <c r="C278" s="61">
        <v>409566</v>
      </c>
      <c r="D278" s="60">
        <v>2.7408500018535356</v>
      </c>
    </row>
    <row r="279" spans="1:4" x14ac:dyDescent="0.25">
      <c r="A279" s="62">
        <v>45869</v>
      </c>
      <c r="B279" s="60">
        <v>-5.812465128491251</v>
      </c>
      <c r="C279" s="61">
        <v>377956</v>
      </c>
      <c r="D279" s="60">
        <v>3.6282169244520399</v>
      </c>
    </row>
    <row r="280" spans="1:4" x14ac:dyDescent="0.25">
      <c r="A280" s="62">
        <v>45868</v>
      </c>
      <c r="B280" s="60">
        <v>-5.6713380813285692</v>
      </c>
      <c r="C280" s="61">
        <v>499792</v>
      </c>
      <c r="D280" s="60">
        <v>5.5347992450281831</v>
      </c>
    </row>
    <row r="281" spans="1:4" x14ac:dyDescent="0.25">
      <c r="A281" s="62">
        <v>45867</v>
      </c>
      <c r="B281" s="60">
        <v>-5.0543175030358727</v>
      </c>
      <c r="C281" s="61">
        <v>328764</v>
      </c>
      <c r="D281" s="60">
        <v>5.2624839397649934</v>
      </c>
    </row>
    <row r="282" spans="1:4" x14ac:dyDescent="0.25">
      <c r="A282" s="62">
        <v>45866</v>
      </c>
      <c r="B282" s="60">
        <v>-5.5170829367553882</v>
      </c>
      <c r="C282" s="61">
        <v>484778</v>
      </c>
      <c r="D282" s="60">
        <v>4.8293428255964752</v>
      </c>
    </row>
    <row r="283" spans="1:4" x14ac:dyDescent="0.25">
      <c r="A283" s="62">
        <v>45863</v>
      </c>
      <c r="B283" s="60">
        <v>-5.1626243066723614</v>
      </c>
      <c r="C283" s="61">
        <v>368204</v>
      </c>
      <c r="D283" s="60">
        <v>5.1071386569606991</v>
      </c>
    </row>
    <row r="284" spans="1:4" x14ac:dyDescent="0.25">
      <c r="A284" s="62">
        <v>45862</v>
      </c>
      <c r="B284" s="60">
        <v>-4.5620138501427681</v>
      </c>
      <c r="C284" s="61">
        <v>242040</v>
      </c>
      <c r="D284" s="60">
        <v>5.9807010119130215</v>
      </c>
    </row>
    <row r="285" spans="1:4" x14ac:dyDescent="0.25">
      <c r="A285" s="62">
        <v>45861</v>
      </c>
      <c r="B285" s="60">
        <v>-4.2009911713544916</v>
      </c>
      <c r="C285" s="61">
        <v>487406</v>
      </c>
      <c r="D285" s="60">
        <v>5.4823653874485769</v>
      </c>
    </row>
    <row r="286" spans="1:4" x14ac:dyDescent="0.25">
      <c r="A286" s="62">
        <v>45860</v>
      </c>
      <c r="B286" s="60">
        <v>-3.6955594210509011</v>
      </c>
      <c r="C286" s="61">
        <v>340602</v>
      </c>
      <c r="D286" s="60">
        <v>4.7441436300778292</v>
      </c>
    </row>
    <row r="287" spans="1:4" x14ac:dyDescent="0.25">
      <c r="A287" s="62">
        <v>45859</v>
      </c>
      <c r="B287" s="60">
        <v>-2.6846959204437355</v>
      </c>
      <c r="C287" s="61">
        <v>417914</v>
      </c>
      <c r="D287" s="60">
        <v>4.3644495402848307</v>
      </c>
    </row>
    <row r="288" spans="1:4" x14ac:dyDescent="0.25">
      <c r="A288" s="62">
        <v>45856</v>
      </c>
      <c r="B288" s="60">
        <v>-2.9144376251271842</v>
      </c>
      <c r="C288" s="61">
        <v>630918</v>
      </c>
      <c r="D288" s="60">
        <v>2.8375930034309942</v>
      </c>
    </row>
    <row r="289" spans="1:4" x14ac:dyDescent="0.25">
      <c r="A289" s="62">
        <v>45855</v>
      </c>
      <c r="B289" s="60">
        <v>-1.7919852965308973</v>
      </c>
      <c r="C289" s="61">
        <v>308510</v>
      </c>
      <c r="D289" s="60">
        <v>2.2871404519548508</v>
      </c>
    </row>
    <row r="290" spans="1:4" x14ac:dyDescent="0.25">
      <c r="A290" s="62">
        <v>45854</v>
      </c>
      <c r="B290" s="60">
        <v>-1.9331123436935931</v>
      </c>
      <c r="C290" s="61">
        <v>484312</v>
      </c>
      <c r="D290" s="60">
        <v>1.7402120022003262</v>
      </c>
    </row>
    <row r="291" spans="1:4" x14ac:dyDescent="0.25">
      <c r="A291" s="62">
        <v>45853</v>
      </c>
      <c r="B291" s="60">
        <v>-1.5983458597262881</v>
      </c>
      <c r="C291" s="61">
        <v>249360</v>
      </c>
      <c r="D291" s="60">
        <v>2.1676651963995446</v>
      </c>
    </row>
    <row r="292" spans="1:4" x14ac:dyDescent="0.25">
      <c r="A292" s="62">
        <v>45852</v>
      </c>
      <c r="B292" s="60">
        <v>-2.7076700909120746</v>
      </c>
      <c r="C292" s="61">
        <v>737312</v>
      </c>
      <c r="D292" s="60">
        <v>2.0708342955485182</v>
      </c>
    </row>
    <row r="293" spans="1:4" x14ac:dyDescent="0.25">
      <c r="A293" s="62">
        <v>45849</v>
      </c>
      <c r="B293" s="60">
        <v>-1.513013226558138</v>
      </c>
      <c r="C293" s="61">
        <v>336992</v>
      </c>
      <c r="D293" s="60">
        <v>1.4994747352172959</v>
      </c>
    </row>
    <row r="294" spans="1:4" x14ac:dyDescent="0.25">
      <c r="A294" s="62">
        <v>45848</v>
      </c>
      <c r="B294" s="60">
        <v>0.59732843217696074</v>
      </c>
      <c r="C294" s="61">
        <v>644522</v>
      </c>
      <c r="D294" s="60">
        <v>1.5841435193884024</v>
      </c>
    </row>
    <row r="295" spans="1:4" x14ac:dyDescent="0.25">
      <c r="A295" s="62">
        <v>45847</v>
      </c>
      <c r="B295" s="60">
        <v>4.5948340936692735E-2</v>
      </c>
      <c r="C295" s="61">
        <v>693860</v>
      </c>
      <c r="D295" s="60">
        <v>1.6227190069436619</v>
      </c>
    </row>
    <row r="296" spans="1:4" x14ac:dyDescent="0.25">
      <c r="A296" s="62">
        <v>45846</v>
      </c>
      <c r="B296" s="60">
        <v>0.67937904099247814</v>
      </c>
      <c r="C296" s="61">
        <v>449486</v>
      </c>
      <c r="D296" s="60">
        <v>2.3159511685197032</v>
      </c>
    </row>
    <row r="297" spans="1:4" x14ac:dyDescent="0.25">
      <c r="A297" s="62">
        <v>45845</v>
      </c>
      <c r="B297" s="60">
        <v>0.83691620991827753</v>
      </c>
      <c r="C297" s="61">
        <v>519264</v>
      </c>
      <c r="D297" s="60">
        <v>1.9223865407626635</v>
      </c>
    </row>
    <row r="298" spans="1:4" x14ac:dyDescent="0.25">
      <c r="A298" s="62">
        <v>45842</v>
      </c>
      <c r="B298" s="60">
        <v>1.0929141094226829</v>
      </c>
      <c r="C298" s="61">
        <v>420752</v>
      </c>
      <c r="D298" s="60">
        <v>3.0779210656972515</v>
      </c>
    </row>
    <row r="299" spans="1:4" x14ac:dyDescent="0.25">
      <c r="A299" s="62">
        <v>45841</v>
      </c>
      <c r="B299" s="60">
        <v>2.2186484623715876</v>
      </c>
      <c r="C299" s="61">
        <v>781166</v>
      </c>
      <c r="D299" s="60">
        <v>3.7272073141022877</v>
      </c>
    </row>
    <row r="300" spans="1:4" x14ac:dyDescent="0.25">
      <c r="A300" s="62">
        <v>45840</v>
      </c>
      <c r="B300" s="60">
        <v>0.97476123272834081</v>
      </c>
      <c r="C300" s="61">
        <v>387752</v>
      </c>
      <c r="D300" s="60">
        <v>2.9763270517252072</v>
      </c>
    </row>
    <row r="301" spans="1:4" x14ac:dyDescent="0.25">
      <c r="A301" s="62">
        <v>45839</v>
      </c>
      <c r="B301" s="60">
        <v>-3.6102267878824673E-2</v>
      </c>
      <c r="C301" s="61">
        <v>483880</v>
      </c>
      <c r="D301" s="60">
        <v>2.0102952151221478</v>
      </c>
    </row>
    <row r="302" spans="1:4" x14ac:dyDescent="0.25">
      <c r="A302" s="62">
        <v>45838</v>
      </c>
      <c r="B302" s="60">
        <v>0.24615182644655223</v>
      </c>
      <c r="C302" s="61">
        <v>340086</v>
      </c>
      <c r="D302" s="60">
        <v>1.6156265354812345</v>
      </c>
    </row>
    <row r="303" spans="1:4" x14ac:dyDescent="0.25">
      <c r="A303" s="62">
        <v>45835</v>
      </c>
      <c r="B303" s="60">
        <v>0.15753716892578448</v>
      </c>
      <c r="C303" s="61">
        <v>612710</v>
      </c>
      <c r="D303" s="60">
        <v>1.9301247221161866</v>
      </c>
    </row>
    <row r="304" spans="1:4" x14ac:dyDescent="0.25">
      <c r="A304" s="62">
        <v>45834</v>
      </c>
      <c r="B304" s="60">
        <v>-0.88286455085497029</v>
      </c>
      <c r="C304" s="61">
        <v>450772</v>
      </c>
      <c r="D304" s="60">
        <v>0.7658661668142438</v>
      </c>
    </row>
    <row r="305" spans="1:6" x14ac:dyDescent="0.25">
      <c r="A305" s="62">
        <v>45833</v>
      </c>
      <c r="B305" s="60">
        <v>-1.3456299845744855</v>
      </c>
      <c r="C305" s="61">
        <v>1473846</v>
      </c>
      <c r="D305" s="60">
        <v>-0.72424720075289983</v>
      </c>
    </row>
    <row r="306" spans="1:6" x14ac:dyDescent="0.25">
      <c r="A306" s="62">
        <v>45832</v>
      </c>
      <c r="B306" s="60">
        <v>-1.4637828612688275</v>
      </c>
      <c r="C306" s="61">
        <v>614098</v>
      </c>
      <c r="D306" s="60">
        <v>-1.3714203291861955</v>
      </c>
    </row>
    <row r="307" spans="1:6" x14ac:dyDescent="0.25">
      <c r="A307" s="62">
        <v>45831</v>
      </c>
      <c r="B307" s="60">
        <v>-3.124487183694912</v>
      </c>
      <c r="C307" s="61">
        <v>180832</v>
      </c>
      <c r="D307" s="60">
        <v>-3.1740839191361441</v>
      </c>
    </row>
    <row r="308" spans="1:6" x14ac:dyDescent="0.25">
      <c r="A308" s="62">
        <v>45828</v>
      </c>
      <c r="B308" s="60">
        <v>-2.9800781121795983</v>
      </c>
      <c r="C308" s="61">
        <v>1044968</v>
      </c>
      <c r="D308" s="60">
        <v>-3.122991464282781</v>
      </c>
    </row>
    <row r="309" spans="1:6" x14ac:dyDescent="0.25">
      <c r="A309" s="62">
        <v>45827</v>
      </c>
      <c r="B309" s="60">
        <v>-2.6124913846860713</v>
      </c>
      <c r="C309" s="61">
        <v>184626</v>
      </c>
      <c r="D309" s="60">
        <v>-3.1317934234251279</v>
      </c>
    </row>
    <row r="310" spans="1:6" x14ac:dyDescent="0.25">
      <c r="A310" s="62">
        <v>45826</v>
      </c>
      <c r="B310" s="60">
        <v>-2.5829531655124969</v>
      </c>
      <c r="C310" s="61">
        <v>414844</v>
      </c>
      <c r="D310" s="60">
        <v>-1.2557974372415597</v>
      </c>
    </row>
    <row r="311" spans="1:6" x14ac:dyDescent="0.25">
      <c r="A311" s="62">
        <v>45825</v>
      </c>
      <c r="B311" s="60">
        <v>-0.93865896484951616</v>
      </c>
      <c r="C311" s="61">
        <v>528290</v>
      </c>
      <c r="D311" s="60">
        <v>-0.77782256151711315</v>
      </c>
    </row>
    <row r="312" spans="1:6" x14ac:dyDescent="0.25">
      <c r="A312" s="62">
        <v>45824</v>
      </c>
      <c r="B312" s="60">
        <v>-1.5786537136105521</v>
      </c>
      <c r="C312" s="61">
        <v>359522</v>
      </c>
      <c r="D312" s="60">
        <v>-0.33678283831874145</v>
      </c>
    </row>
    <row r="313" spans="1:6" x14ac:dyDescent="0.25">
      <c r="A313" s="62">
        <v>45821</v>
      </c>
      <c r="B313" s="60">
        <v>-1.1290163773015225</v>
      </c>
      <c r="C313" s="61">
        <v>766960</v>
      </c>
      <c r="D313" s="60">
        <v>-0.57607729714985711</v>
      </c>
    </row>
    <row r="314" spans="1:6" x14ac:dyDescent="0.2">
      <c r="A314" s="88"/>
      <c r="B314" s="88"/>
      <c r="C314" s="88"/>
      <c r="D314" s="88"/>
      <c r="E314" s="88"/>
      <c r="F314" s="88"/>
    </row>
  </sheetData>
  <mergeCells count="42">
    <mergeCell ref="A314:F314"/>
    <mergeCell ref="A41:F41"/>
    <mergeCell ref="A42:F42"/>
    <mergeCell ref="A43:F43"/>
    <mergeCell ref="A44:F44"/>
    <mergeCell ref="A49:F49"/>
    <mergeCell ref="A50:F50"/>
    <mergeCell ref="A36:F36"/>
    <mergeCell ref="A37:F37"/>
    <mergeCell ref="A38:F38"/>
    <mergeCell ref="A39:F39"/>
    <mergeCell ref="A40:F40"/>
    <mergeCell ref="A35:F35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23:F2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11:F11"/>
    <mergeCell ref="A1:D1"/>
    <mergeCell ref="A3:F3"/>
    <mergeCell ref="A4:F4"/>
    <mergeCell ref="A5:F5"/>
    <mergeCell ref="A10:F10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6E60-BC67-4EEB-98FA-30180A48B270}">
  <dimension ref="A1:L314"/>
  <sheetViews>
    <sheetView topLeftCell="A2" workbookViewId="0">
      <selection activeCell="A2" sqref="A2"/>
    </sheetView>
  </sheetViews>
  <sheetFormatPr defaultColWidth="9.140625" defaultRowHeight="15" x14ac:dyDescent="0.25"/>
  <cols>
    <col min="1" max="1" width="48.5703125" style="58" customWidth="1"/>
    <col min="2" max="2" width="34.5703125" style="58" customWidth="1"/>
    <col min="3" max="3" width="27.42578125" style="58" customWidth="1"/>
    <col min="4" max="4" width="48.5703125" style="58" customWidth="1"/>
    <col min="5" max="5" width="18.5703125" style="58" customWidth="1"/>
    <col min="6" max="6" width="24.28515625" style="58" customWidth="1"/>
  </cols>
  <sheetData>
    <row r="1" spans="1:12" ht="39.950000000000003" customHeight="1" x14ac:dyDescent="0.25">
      <c r="A1" s="89"/>
      <c r="B1" s="89"/>
      <c r="C1" s="89"/>
      <c r="D1" s="89"/>
    </row>
    <row r="2" spans="1:12" ht="30" customHeight="1" x14ac:dyDescent="0.3">
      <c r="A2" s="66" t="s">
        <v>137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x14ac:dyDescent="0.2">
      <c r="A3" s="88"/>
      <c r="B3" s="88"/>
      <c r="C3" s="88"/>
      <c r="D3" s="88"/>
      <c r="E3" s="88"/>
      <c r="F3" s="88"/>
    </row>
    <row r="4" spans="1:12" x14ac:dyDescent="0.2">
      <c r="A4" s="88" t="s">
        <v>136</v>
      </c>
      <c r="B4" s="88"/>
      <c r="C4" s="88"/>
      <c r="D4" s="88"/>
      <c r="E4" s="88"/>
      <c r="F4" s="88"/>
    </row>
    <row r="5" spans="1:12" x14ac:dyDescent="0.2">
      <c r="A5" s="88"/>
      <c r="B5" s="88"/>
      <c r="C5" s="88"/>
      <c r="D5" s="88"/>
      <c r="E5" s="88"/>
      <c r="F5" s="88"/>
    </row>
    <row r="6" spans="1:12" x14ac:dyDescent="0.25">
      <c r="A6" s="59"/>
    </row>
    <row r="7" spans="1:12" x14ac:dyDescent="0.25">
      <c r="A7" s="59" t="s">
        <v>135</v>
      </c>
    </row>
    <row r="8" spans="1:12" x14ac:dyDescent="0.25">
      <c r="A8" s="59" t="s">
        <v>134</v>
      </c>
    </row>
    <row r="9" spans="1:12" x14ac:dyDescent="0.25">
      <c r="A9" s="59"/>
    </row>
    <row r="10" spans="1:12" x14ac:dyDescent="0.2">
      <c r="A10" s="88"/>
      <c r="B10" s="88"/>
      <c r="C10" s="88"/>
      <c r="D10" s="88"/>
      <c r="E10" s="88"/>
      <c r="F10" s="88"/>
    </row>
    <row r="11" spans="1:12" x14ac:dyDescent="0.2">
      <c r="A11" s="88"/>
      <c r="B11" s="88"/>
      <c r="C11" s="88"/>
      <c r="D11" s="88"/>
      <c r="E11" s="88"/>
      <c r="F11" s="88"/>
    </row>
    <row r="12" spans="1:12" x14ac:dyDescent="0.2">
      <c r="A12" s="88"/>
      <c r="B12" s="88"/>
      <c r="C12" s="88"/>
      <c r="D12" s="88"/>
      <c r="E12" s="88"/>
      <c r="F12" s="88"/>
    </row>
    <row r="13" spans="1:12" x14ac:dyDescent="0.2">
      <c r="A13" s="88"/>
      <c r="B13" s="88"/>
      <c r="C13" s="88"/>
      <c r="D13" s="88"/>
      <c r="E13" s="88"/>
      <c r="F13" s="88"/>
    </row>
    <row r="14" spans="1:12" x14ac:dyDescent="0.2">
      <c r="A14" s="88"/>
      <c r="B14" s="88"/>
      <c r="C14" s="88"/>
      <c r="D14" s="88"/>
      <c r="E14" s="88"/>
      <c r="F14" s="88"/>
    </row>
    <row r="15" spans="1:12" x14ac:dyDescent="0.2">
      <c r="A15" s="88"/>
      <c r="B15" s="88"/>
      <c r="C15" s="88"/>
      <c r="D15" s="88"/>
      <c r="E15" s="88"/>
      <c r="F15" s="88"/>
    </row>
    <row r="16" spans="1:12" x14ac:dyDescent="0.2">
      <c r="A16" s="88"/>
      <c r="B16" s="88"/>
      <c r="C16" s="88"/>
      <c r="D16" s="88"/>
      <c r="E16" s="88"/>
      <c r="F16" s="88"/>
    </row>
    <row r="17" spans="1:6" x14ac:dyDescent="0.2">
      <c r="A17" s="88"/>
      <c r="B17" s="88"/>
      <c r="C17" s="88"/>
      <c r="D17" s="88"/>
      <c r="E17" s="88"/>
      <c r="F17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88"/>
      <c r="B22" s="88"/>
      <c r="C22" s="88"/>
      <c r="D22" s="88"/>
      <c r="E22" s="88"/>
      <c r="F22" s="88"/>
    </row>
    <row r="23" spans="1:6" x14ac:dyDescent="0.2">
      <c r="A23" s="88"/>
      <c r="B23" s="88"/>
      <c r="C23" s="88"/>
      <c r="D23" s="88"/>
      <c r="E23" s="88"/>
      <c r="F23" s="88"/>
    </row>
    <row r="24" spans="1:6" x14ac:dyDescent="0.2">
      <c r="A24" s="88"/>
      <c r="B24" s="88"/>
      <c r="C24" s="88"/>
      <c r="D24" s="88"/>
      <c r="E24" s="88"/>
      <c r="F24" s="88"/>
    </row>
    <row r="25" spans="1:6" x14ac:dyDescent="0.2">
      <c r="A25" s="88"/>
      <c r="B25" s="88"/>
      <c r="C25" s="88"/>
      <c r="D25" s="88"/>
      <c r="E25" s="88"/>
      <c r="F25" s="88"/>
    </row>
    <row r="26" spans="1:6" x14ac:dyDescent="0.2">
      <c r="A26" s="88"/>
      <c r="B26" s="88"/>
      <c r="C26" s="88"/>
      <c r="D26" s="88"/>
      <c r="E26" s="88"/>
      <c r="F26" s="88"/>
    </row>
    <row r="27" spans="1:6" x14ac:dyDescent="0.2">
      <c r="A27" s="88"/>
      <c r="B27" s="88"/>
      <c r="C27" s="88"/>
      <c r="D27" s="88"/>
      <c r="E27" s="88"/>
      <c r="F27" s="88"/>
    </row>
    <row r="28" spans="1:6" x14ac:dyDescent="0.2">
      <c r="A28" s="88"/>
      <c r="B28" s="88"/>
      <c r="C28" s="88"/>
      <c r="D28" s="88"/>
      <c r="E28" s="88"/>
      <c r="F28" s="88"/>
    </row>
    <row r="29" spans="1:6" x14ac:dyDescent="0.2">
      <c r="A29" s="88"/>
      <c r="B29" s="88"/>
      <c r="C29" s="88"/>
      <c r="D29" s="88"/>
      <c r="E29" s="88"/>
      <c r="F29" s="88"/>
    </row>
    <row r="30" spans="1:6" x14ac:dyDescent="0.2">
      <c r="A30" s="88"/>
      <c r="B30" s="88"/>
      <c r="C30" s="88"/>
      <c r="D30" s="88"/>
      <c r="E30" s="88"/>
      <c r="F30" s="88"/>
    </row>
    <row r="31" spans="1:6" x14ac:dyDescent="0.2">
      <c r="A31" s="88"/>
      <c r="B31" s="88"/>
      <c r="C31" s="88"/>
      <c r="D31" s="88"/>
      <c r="E31" s="88"/>
      <c r="F31" s="88"/>
    </row>
    <row r="32" spans="1:6" x14ac:dyDescent="0.2">
      <c r="A32" s="88"/>
      <c r="B32" s="88"/>
      <c r="C32" s="88"/>
      <c r="D32" s="88"/>
      <c r="E32" s="88"/>
      <c r="F32" s="88"/>
    </row>
    <row r="33" spans="1:6" x14ac:dyDescent="0.2">
      <c r="A33" s="88"/>
      <c r="B33" s="88"/>
      <c r="C33" s="88"/>
      <c r="D33" s="88"/>
      <c r="E33" s="88"/>
      <c r="F33" s="88"/>
    </row>
    <row r="34" spans="1:6" x14ac:dyDescent="0.2">
      <c r="A34" s="88"/>
      <c r="B34" s="88"/>
      <c r="C34" s="88"/>
      <c r="D34" s="88"/>
      <c r="E34" s="88"/>
      <c r="F34" s="88"/>
    </row>
    <row r="35" spans="1:6" x14ac:dyDescent="0.2">
      <c r="A35" s="88"/>
      <c r="B35" s="88"/>
      <c r="C35" s="88"/>
      <c r="D35" s="88"/>
      <c r="E35" s="88"/>
      <c r="F35" s="88"/>
    </row>
    <row r="36" spans="1:6" x14ac:dyDescent="0.2">
      <c r="A36" s="88"/>
      <c r="B36" s="88"/>
      <c r="C36" s="88"/>
      <c r="D36" s="88"/>
      <c r="E36" s="88"/>
      <c r="F36" s="88"/>
    </row>
    <row r="37" spans="1:6" x14ac:dyDescent="0.2">
      <c r="A37" s="88"/>
      <c r="B37" s="88"/>
      <c r="C37" s="88"/>
      <c r="D37" s="88"/>
      <c r="E37" s="88"/>
      <c r="F37" s="88"/>
    </row>
    <row r="38" spans="1:6" x14ac:dyDescent="0.2">
      <c r="A38" s="88"/>
      <c r="B38" s="88"/>
      <c r="C38" s="88"/>
      <c r="D38" s="88"/>
      <c r="E38" s="88"/>
      <c r="F38" s="88"/>
    </row>
    <row r="39" spans="1:6" x14ac:dyDescent="0.2">
      <c r="A39" s="88"/>
      <c r="B39" s="88"/>
      <c r="C39" s="88"/>
      <c r="D39" s="88"/>
      <c r="E39" s="88"/>
      <c r="F39" s="88"/>
    </row>
    <row r="40" spans="1:6" x14ac:dyDescent="0.2">
      <c r="A40" s="88"/>
      <c r="B40" s="88"/>
      <c r="C40" s="88"/>
      <c r="D40" s="88"/>
      <c r="E40" s="88"/>
      <c r="F40" s="88"/>
    </row>
    <row r="41" spans="1:6" x14ac:dyDescent="0.2">
      <c r="A41" s="88"/>
      <c r="B41" s="88"/>
      <c r="C41" s="88"/>
      <c r="D41" s="88"/>
      <c r="E41" s="88"/>
      <c r="F41" s="88"/>
    </row>
    <row r="42" spans="1:6" x14ac:dyDescent="0.2">
      <c r="A42" s="88"/>
      <c r="B42" s="88"/>
      <c r="C42" s="88"/>
      <c r="D42" s="88"/>
      <c r="E42" s="88"/>
      <c r="F42" s="88"/>
    </row>
    <row r="43" spans="1:6" x14ac:dyDescent="0.2">
      <c r="A43" s="88"/>
      <c r="B43" s="88"/>
      <c r="C43" s="88"/>
      <c r="D43" s="88"/>
      <c r="E43" s="88"/>
      <c r="F43" s="88"/>
    </row>
    <row r="44" spans="1:6" x14ac:dyDescent="0.2">
      <c r="A44" s="88"/>
      <c r="B44" s="88"/>
      <c r="C44" s="88"/>
      <c r="D44" s="88"/>
      <c r="E44" s="88"/>
      <c r="F44" s="88"/>
    </row>
    <row r="45" spans="1:6" x14ac:dyDescent="0.2">
      <c r="A45" s="64" t="s">
        <v>133</v>
      </c>
      <c r="B45" s="64" t="s">
        <v>132</v>
      </c>
      <c r="C45" s="64" t="s">
        <v>131</v>
      </c>
      <c r="D45" s="64" t="s">
        <v>130</v>
      </c>
      <c r="E45" s="64" t="s">
        <v>129</v>
      </c>
      <c r="F45" s="64" t="s">
        <v>128</v>
      </c>
    </row>
    <row r="46" spans="1:6" x14ac:dyDescent="0.2">
      <c r="A46" s="59" t="s">
        <v>127</v>
      </c>
      <c r="B46" s="59" t="s">
        <v>117</v>
      </c>
      <c r="C46" s="59" t="s">
        <v>126</v>
      </c>
      <c r="D46" s="59" t="s">
        <v>125</v>
      </c>
      <c r="E46" s="59" t="s">
        <v>124</v>
      </c>
      <c r="F46" s="59" t="s">
        <v>123</v>
      </c>
    </row>
    <row r="47" spans="1:6" x14ac:dyDescent="0.2">
      <c r="A47" s="59" t="s">
        <v>110</v>
      </c>
      <c r="B47" s="59" t="s">
        <v>117</v>
      </c>
      <c r="C47" s="59" t="s">
        <v>122</v>
      </c>
      <c r="D47" s="59" t="s">
        <v>121</v>
      </c>
      <c r="E47" s="59" t="s">
        <v>120</v>
      </c>
      <c r="F47" s="59" t="s">
        <v>119</v>
      </c>
    </row>
    <row r="48" spans="1:6" x14ac:dyDescent="0.2">
      <c r="A48" s="59" t="s">
        <v>118</v>
      </c>
      <c r="B48" s="59" t="s">
        <v>117</v>
      </c>
      <c r="C48" s="59" t="s">
        <v>116</v>
      </c>
      <c r="D48" s="59" t="s">
        <v>115</v>
      </c>
      <c r="E48" s="59" t="s">
        <v>114</v>
      </c>
      <c r="F48" s="59" t="s">
        <v>113</v>
      </c>
    </row>
    <row r="49" spans="1:6" x14ac:dyDescent="0.2">
      <c r="A49" s="88"/>
      <c r="B49" s="88"/>
      <c r="C49" s="88"/>
      <c r="D49" s="88"/>
      <c r="E49" s="88"/>
      <c r="F49" s="88"/>
    </row>
    <row r="50" spans="1:6" x14ac:dyDescent="0.2">
      <c r="A50" s="88"/>
      <c r="B50" s="88"/>
      <c r="C50" s="88"/>
      <c r="D50" s="88"/>
      <c r="E50" s="88"/>
      <c r="F50" s="88"/>
    </row>
    <row r="51" spans="1:6" x14ac:dyDescent="0.25">
      <c r="A51" s="64" t="s">
        <v>112</v>
      </c>
      <c r="B51" s="64" t="s">
        <v>111</v>
      </c>
      <c r="C51" s="64" t="s">
        <v>110</v>
      </c>
      <c r="D51" s="64" t="s">
        <v>109</v>
      </c>
    </row>
    <row r="52" spans="1:6" x14ac:dyDescent="0.25">
      <c r="A52" s="62">
        <v>46185</v>
      </c>
      <c r="B52" s="60">
        <v>-1.2936802973977695</v>
      </c>
      <c r="C52" s="61">
        <v>162810</v>
      </c>
      <c r="D52" s="60">
        <v>-6.9902349776237704</v>
      </c>
    </row>
    <row r="53" spans="1:6" x14ac:dyDescent="0.25">
      <c r="A53" s="62">
        <v>46184</v>
      </c>
      <c r="B53" s="60">
        <v>-1.033457249070632</v>
      </c>
      <c r="C53" s="61">
        <v>228572</v>
      </c>
      <c r="D53" s="60">
        <v>-8.9538082760040005</v>
      </c>
    </row>
    <row r="54" spans="1:6" x14ac:dyDescent="0.25">
      <c r="A54" s="62">
        <v>46183</v>
      </c>
      <c r="B54" s="60">
        <v>-1.2862453531598512</v>
      </c>
      <c r="C54" s="61">
        <v>405743</v>
      </c>
      <c r="D54" s="60">
        <v>-8.3245044189174191</v>
      </c>
    </row>
    <row r="55" spans="1:6" x14ac:dyDescent="0.25">
      <c r="A55" s="62">
        <v>46182</v>
      </c>
      <c r="B55" s="60">
        <v>0.41635687732342008</v>
      </c>
      <c r="C55" s="61">
        <v>912179</v>
      </c>
      <c r="D55" s="60">
        <v>-8.774327433391182</v>
      </c>
    </row>
    <row r="56" spans="1:6" x14ac:dyDescent="0.25">
      <c r="A56" s="62">
        <v>46181</v>
      </c>
      <c r="B56" s="60">
        <v>-3.033457249070632</v>
      </c>
      <c r="C56" s="61">
        <v>456406</v>
      </c>
      <c r="D56" s="60">
        <v>-9.0720454109208255</v>
      </c>
    </row>
    <row r="57" spans="1:6" x14ac:dyDescent="0.25">
      <c r="A57" s="62">
        <v>46178</v>
      </c>
      <c r="B57" s="60">
        <v>-1.516728624535316</v>
      </c>
      <c r="C57" s="61">
        <v>200964</v>
      </c>
      <c r="D57" s="60">
        <v>-7.0425742297090839</v>
      </c>
    </row>
    <row r="58" spans="1:6" x14ac:dyDescent="0.25">
      <c r="A58" s="62">
        <v>46177</v>
      </c>
      <c r="B58" s="60">
        <v>-1.9107806691449813</v>
      </c>
      <c r="C58" s="61">
        <v>347823</v>
      </c>
      <c r="D58" s="60">
        <v>-6.8978657742279612</v>
      </c>
    </row>
    <row r="59" spans="1:6" x14ac:dyDescent="0.25">
      <c r="A59" s="62">
        <v>46176</v>
      </c>
      <c r="B59" s="60">
        <v>-2.2081784386617098</v>
      </c>
      <c r="C59" s="61">
        <v>563313</v>
      </c>
      <c r="D59" s="60">
        <v>-6.7101033567014632</v>
      </c>
    </row>
    <row r="60" spans="1:6" x14ac:dyDescent="0.25">
      <c r="A60" s="62">
        <v>46175</v>
      </c>
      <c r="B60" s="60">
        <v>-2.8550185873605947</v>
      </c>
      <c r="C60" s="61">
        <v>362800</v>
      </c>
      <c r="D60" s="60">
        <v>-5.3031264317915729</v>
      </c>
    </row>
    <row r="61" spans="1:6" x14ac:dyDescent="0.25">
      <c r="A61" s="62">
        <v>46174</v>
      </c>
      <c r="B61" s="60">
        <v>-2.550185873605948</v>
      </c>
      <c r="C61" s="61">
        <v>125379</v>
      </c>
      <c r="D61" s="60">
        <v>-4.0233794210026046</v>
      </c>
    </row>
    <row r="62" spans="1:6" x14ac:dyDescent="0.25">
      <c r="A62" s="62">
        <v>46171</v>
      </c>
      <c r="B62" s="60">
        <v>-0.86245353159851301</v>
      </c>
      <c r="C62" s="61">
        <v>612037</v>
      </c>
      <c r="D62" s="60">
        <v>-3.1388341723625413</v>
      </c>
    </row>
    <row r="63" spans="1:6" x14ac:dyDescent="0.25">
      <c r="A63" s="62">
        <v>46170</v>
      </c>
      <c r="B63" s="63" t="s">
        <v>108</v>
      </c>
      <c r="C63" s="63" t="s">
        <v>108</v>
      </c>
      <c r="D63" s="60">
        <v>-4.9038176429837215</v>
      </c>
    </row>
    <row r="64" spans="1:6" x14ac:dyDescent="0.25">
      <c r="A64" s="62">
        <v>46169</v>
      </c>
      <c r="B64" s="60">
        <v>1.0780669144981412</v>
      </c>
      <c r="C64" s="61">
        <v>155051</v>
      </c>
      <c r="D64" s="60">
        <v>-3.0412066526381549</v>
      </c>
    </row>
    <row r="65" spans="1:4" x14ac:dyDescent="0.25">
      <c r="A65" s="62">
        <v>46168</v>
      </c>
      <c r="B65" s="60">
        <v>0.41635687732342008</v>
      </c>
      <c r="C65" s="61">
        <v>309440</v>
      </c>
      <c r="D65" s="60">
        <v>-2.5677401738589203</v>
      </c>
    </row>
    <row r="66" spans="1:4" x14ac:dyDescent="0.25">
      <c r="A66" s="62">
        <v>46167</v>
      </c>
      <c r="B66" s="60">
        <v>0.46840148698884759</v>
      </c>
      <c r="C66" s="61">
        <v>874049</v>
      </c>
      <c r="D66" s="60">
        <v>-1.9903143837410751</v>
      </c>
    </row>
    <row r="67" spans="1:4" x14ac:dyDescent="0.25">
      <c r="A67" s="62">
        <v>46164</v>
      </c>
      <c r="B67" s="60">
        <v>2.4089219330855021</v>
      </c>
      <c r="C67" s="61">
        <v>354149</v>
      </c>
      <c r="D67" s="60">
        <v>-2.4933496104551258</v>
      </c>
    </row>
    <row r="68" spans="1:4" x14ac:dyDescent="0.25">
      <c r="A68" s="62">
        <v>46163</v>
      </c>
      <c r="B68" s="60">
        <v>1.9776951672862453</v>
      </c>
      <c r="C68" s="61">
        <v>151586</v>
      </c>
      <c r="D68" s="60">
        <v>-2.2065484117282956</v>
      </c>
    </row>
    <row r="69" spans="1:4" x14ac:dyDescent="0.25">
      <c r="A69" s="62">
        <v>46162</v>
      </c>
      <c r="B69" s="60">
        <v>2.4981412639405205</v>
      </c>
      <c r="C69" s="61">
        <v>957736</v>
      </c>
      <c r="D69" s="60">
        <v>-3.0308452685422127</v>
      </c>
    </row>
    <row r="70" spans="1:4" x14ac:dyDescent="0.25">
      <c r="A70" s="62">
        <v>46161</v>
      </c>
      <c r="B70" s="60">
        <v>2.7806691449814127</v>
      </c>
      <c r="C70" s="61">
        <v>322081</v>
      </c>
      <c r="D70" s="60">
        <v>-3.1154584579189288</v>
      </c>
    </row>
    <row r="71" spans="1:4" x14ac:dyDescent="0.25">
      <c r="A71" s="62">
        <v>46160</v>
      </c>
      <c r="B71" s="60">
        <v>1.6356877323420074</v>
      </c>
      <c r="C71" s="61">
        <v>340352</v>
      </c>
      <c r="D71" s="60">
        <v>-3.0589818302055085</v>
      </c>
    </row>
    <row r="72" spans="1:4" x14ac:dyDescent="0.25">
      <c r="A72" s="62">
        <v>46157</v>
      </c>
      <c r="B72" s="60">
        <v>0.52788104089219334</v>
      </c>
      <c r="C72" s="61">
        <v>321270</v>
      </c>
      <c r="D72" s="60">
        <v>-1.5953461296202325</v>
      </c>
    </row>
    <row r="73" spans="1:4" x14ac:dyDescent="0.25">
      <c r="A73" s="62">
        <v>46156</v>
      </c>
      <c r="B73" s="60">
        <v>2.9219330855018586</v>
      </c>
      <c r="C73" s="61">
        <v>424282</v>
      </c>
      <c r="D73" s="60">
        <v>-0.67516447214207231</v>
      </c>
    </row>
    <row r="74" spans="1:4" x14ac:dyDescent="0.25">
      <c r="A74" s="62">
        <v>46155</v>
      </c>
      <c r="B74" s="60">
        <v>1.0557620817843867</v>
      </c>
      <c r="C74" s="61">
        <v>513807</v>
      </c>
      <c r="D74" s="60">
        <v>-0.27680364788978651</v>
      </c>
    </row>
    <row r="75" spans="1:4" x14ac:dyDescent="0.25">
      <c r="A75" s="62">
        <v>46154</v>
      </c>
      <c r="B75" s="60">
        <v>-1.204460966542751</v>
      </c>
      <c r="C75" s="61">
        <v>156166</v>
      </c>
      <c r="D75" s="60">
        <v>0.20824215527729348</v>
      </c>
    </row>
    <row r="76" spans="1:4" x14ac:dyDescent="0.25">
      <c r="A76" s="62">
        <v>46153</v>
      </c>
      <c r="B76" s="60">
        <v>-0.16356877323420074</v>
      </c>
      <c r="C76" s="61">
        <v>196830</v>
      </c>
      <c r="D76" s="60">
        <v>1.1357944781047358</v>
      </c>
    </row>
    <row r="77" spans="1:4" x14ac:dyDescent="0.25">
      <c r="A77" s="62">
        <v>46150</v>
      </c>
      <c r="B77" s="60">
        <v>-0.21561338289962825</v>
      </c>
      <c r="C77" s="61">
        <v>155071</v>
      </c>
      <c r="D77" s="60">
        <v>1.2539321568402033</v>
      </c>
    </row>
    <row r="78" spans="1:4" x14ac:dyDescent="0.25">
      <c r="A78" s="62">
        <v>46149</v>
      </c>
      <c r="B78" s="60">
        <v>-0.33457249070631973</v>
      </c>
      <c r="C78" s="61">
        <v>330052</v>
      </c>
      <c r="D78" s="60">
        <v>1.9141120980499886</v>
      </c>
    </row>
    <row r="79" spans="1:4" x14ac:dyDescent="0.25">
      <c r="A79" s="62">
        <v>46148</v>
      </c>
      <c r="B79" s="60">
        <v>-0.34200743494423791</v>
      </c>
      <c r="C79" s="61">
        <v>314250</v>
      </c>
      <c r="D79" s="60">
        <v>0.66160801049868412</v>
      </c>
    </row>
    <row r="80" spans="1:4" x14ac:dyDescent="0.25">
      <c r="A80" s="62">
        <v>46147</v>
      </c>
      <c r="B80" s="60">
        <v>-1.1003717472118959</v>
      </c>
      <c r="C80" s="61">
        <v>195449</v>
      </c>
      <c r="D80" s="60">
        <v>-0.39269588793545862</v>
      </c>
    </row>
    <row r="81" spans="1:4" x14ac:dyDescent="0.25">
      <c r="A81" s="62">
        <v>46146</v>
      </c>
      <c r="B81" s="60">
        <v>-1.5687732342007434</v>
      </c>
      <c r="C81" s="61">
        <v>371945</v>
      </c>
      <c r="D81" s="60">
        <v>-4.102135452613051E-2</v>
      </c>
    </row>
    <row r="82" spans="1:4" x14ac:dyDescent="0.25">
      <c r="A82" s="62">
        <v>46143</v>
      </c>
      <c r="B82" s="63" t="s">
        <v>108</v>
      </c>
      <c r="C82" s="63" t="s">
        <v>108</v>
      </c>
      <c r="D82" s="60">
        <v>-0.5761976112184598</v>
      </c>
    </row>
    <row r="83" spans="1:4" x14ac:dyDescent="0.25">
      <c r="A83" s="62">
        <v>46142</v>
      </c>
      <c r="B83" s="60">
        <v>-3.3085501858736062</v>
      </c>
      <c r="C83" s="61">
        <v>379741</v>
      </c>
      <c r="D83" s="60">
        <v>-0.56933404309646496</v>
      </c>
    </row>
    <row r="84" spans="1:4" x14ac:dyDescent="0.25">
      <c r="A84" s="62">
        <v>46141</v>
      </c>
      <c r="B84" s="60">
        <v>-2.8401486988847582</v>
      </c>
      <c r="C84" s="61">
        <v>324770</v>
      </c>
      <c r="D84" s="60">
        <v>-0.52102698156670013</v>
      </c>
    </row>
    <row r="85" spans="1:4" x14ac:dyDescent="0.25">
      <c r="A85" s="62">
        <v>46140</v>
      </c>
      <c r="B85" s="60">
        <v>-4.3494423791821557</v>
      </c>
      <c r="C85" s="61">
        <v>271770</v>
      </c>
      <c r="D85" s="60">
        <v>-0.51463549935784614</v>
      </c>
    </row>
    <row r="86" spans="1:4" x14ac:dyDescent="0.25">
      <c r="A86" s="62">
        <v>46139</v>
      </c>
      <c r="B86" s="60">
        <v>-3.6877323420074348</v>
      </c>
      <c r="C86" s="61">
        <v>289657</v>
      </c>
      <c r="D86" s="60">
        <v>-0.3876143908039556</v>
      </c>
    </row>
    <row r="87" spans="1:4" x14ac:dyDescent="0.25">
      <c r="A87" s="62">
        <v>46136</v>
      </c>
      <c r="B87" s="60">
        <v>-5.4052044609665426</v>
      </c>
      <c r="C87" s="61">
        <v>316970</v>
      </c>
      <c r="D87" s="60">
        <v>-0.73243307363094123</v>
      </c>
    </row>
    <row r="88" spans="1:4" x14ac:dyDescent="0.25">
      <c r="A88" s="62">
        <v>46135</v>
      </c>
      <c r="B88" s="60">
        <v>-5.1524163568773238</v>
      </c>
      <c r="C88" s="61">
        <v>405157</v>
      </c>
      <c r="D88" s="60">
        <v>-9.8015280603705401E-2</v>
      </c>
    </row>
    <row r="89" spans="1:4" x14ac:dyDescent="0.25">
      <c r="A89" s="62">
        <v>46134</v>
      </c>
      <c r="B89" s="60">
        <v>-6.5353159851301115</v>
      </c>
      <c r="C89" s="61">
        <v>226547</v>
      </c>
      <c r="D89" s="60">
        <v>1.5018713978376981</v>
      </c>
    </row>
    <row r="90" spans="1:4" x14ac:dyDescent="0.25">
      <c r="A90" s="62">
        <v>46133</v>
      </c>
      <c r="B90" s="60">
        <v>-6.5278810408921935</v>
      </c>
      <c r="C90" s="61">
        <v>242433</v>
      </c>
      <c r="D90" s="60">
        <v>1.8520817775466241</v>
      </c>
    </row>
    <row r="91" spans="1:4" x14ac:dyDescent="0.25">
      <c r="A91" s="62">
        <v>46132</v>
      </c>
      <c r="B91" s="60">
        <v>-6.6171003717472123</v>
      </c>
      <c r="C91" s="61">
        <v>208547</v>
      </c>
      <c r="D91" s="60">
        <v>2.5712915663022153</v>
      </c>
    </row>
    <row r="92" spans="1:4" x14ac:dyDescent="0.25">
      <c r="A92" s="62">
        <v>46129</v>
      </c>
      <c r="B92" s="60">
        <v>-7.3754646840148697</v>
      </c>
      <c r="C92" s="61">
        <v>169295</v>
      </c>
      <c r="D92" s="60">
        <v>3.1125631846108983</v>
      </c>
    </row>
    <row r="93" spans="1:4" x14ac:dyDescent="0.25">
      <c r="A93" s="62">
        <v>46128</v>
      </c>
      <c r="B93" s="60">
        <v>-6.4163568773234196</v>
      </c>
      <c r="C93" s="61">
        <v>350424</v>
      </c>
      <c r="D93" s="60">
        <v>4.0150182272523001</v>
      </c>
    </row>
    <row r="94" spans="1:4" x14ac:dyDescent="0.25">
      <c r="A94" s="62">
        <v>46127</v>
      </c>
      <c r="B94" s="60">
        <v>-8.1412639405204459</v>
      </c>
      <c r="C94" s="61">
        <v>251355</v>
      </c>
      <c r="D94" s="60">
        <v>3.4162437059181707</v>
      </c>
    </row>
    <row r="95" spans="1:4" x14ac:dyDescent="0.25">
      <c r="A95" s="62">
        <v>46126</v>
      </c>
      <c r="B95" s="63" t="s">
        <v>108</v>
      </c>
      <c r="C95" s="63" t="s">
        <v>108</v>
      </c>
      <c r="D95" s="60">
        <v>0.91894470167307374</v>
      </c>
    </row>
    <row r="96" spans="1:4" x14ac:dyDescent="0.25">
      <c r="A96" s="62">
        <v>46125</v>
      </c>
      <c r="B96" s="60">
        <v>-9.7397769516728623</v>
      </c>
      <c r="C96" s="61">
        <v>211392</v>
      </c>
      <c r="D96" s="60">
        <v>0.3122044179801533</v>
      </c>
    </row>
    <row r="97" spans="1:4" x14ac:dyDescent="0.25">
      <c r="A97" s="62">
        <v>46122</v>
      </c>
      <c r="B97" s="60">
        <v>-9.0483271375464689</v>
      </c>
      <c r="C97" s="61">
        <v>334871</v>
      </c>
      <c r="D97" s="60">
        <v>1.3018958896565396</v>
      </c>
    </row>
    <row r="98" spans="1:4" x14ac:dyDescent="0.25">
      <c r="A98" s="62">
        <v>46121</v>
      </c>
      <c r="B98" s="60">
        <v>-11.486988847583643</v>
      </c>
      <c r="C98" s="61">
        <v>237284</v>
      </c>
      <c r="D98" s="60">
        <v>0.70580658203906177</v>
      </c>
    </row>
    <row r="99" spans="1:4" x14ac:dyDescent="0.25">
      <c r="A99" s="62">
        <v>46120</v>
      </c>
      <c r="B99" s="60">
        <v>-12.535315985130111</v>
      </c>
      <c r="C99" s="61">
        <v>302280</v>
      </c>
      <c r="D99" s="60">
        <v>1.1551786280997414</v>
      </c>
    </row>
    <row r="100" spans="1:4" x14ac:dyDescent="0.25">
      <c r="A100" s="62">
        <v>46119</v>
      </c>
      <c r="B100" s="60">
        <v>-13.011152416356877</v>
      </c>
      <c r="C100" s="61">
        <v>347412</v>
      </c>
      <c r="D100" s="60">
        <v>1.025479946274124</v>
      </c>
    </row>
    <row r="101" spans="1:4" x14ac:dyDescent="0.25">
      <c r="A101" s="62">
        <v>46118</v>
      </c>
      <c r="B101" s="60">
        <v>-13.442379182156134</v>
      </c>
      <c r="C101" s="61">
        <v>346192</v>
      </c>
      <c r="D101" s="60">
        <v>0.79551695441379611</v>
      </c>
    </row>
    <row r="102" spans="1:4" x14ac:dyDescent="0.25">
      <c r="A102" s="62">
        <v>46115</v>
      </c>
      <c r="B102" s="63" t="s">
        <v>108</v>
      </c>
      <c r="C102" s="63" t="s">
        <v>108</v>
      </c>
      <c r="D102" s="60">
        <v>0.69860241882335028</v>
      </c>
    </row>
    <row r="103" spans="1:4" x14ac:dyDescent="0.25">
      <c r="A103" s="62">
        <v>46114</v>
      </c>
      <c r="B103" s="60">
        <v>-12.914498141263941</v>
      </c>
      <c r="C103" s="61">
        <v>513534</v>
      </c>
      <c r="D103" s="60">
        <v>0.70385025860823625</v>
      </c>
    </row>
    <row r="104" spans="1:4" x14ac:dyDescent="0.25">
      <c r="A104" s="62">
        <v>46113</v>
      </c>
      <c r="B104" s="60">
        <v>-12.17100371747212</v>
      </c>
      <c r="C104" s="61">
        <v>546653</v>
      </c>
      <c r="D104" s="60">
        <v>-0.17460789905059385</v>
      </c>
    </row>
    <row r="105" spans="1:4" x14ac:dyDescent="0.25">
      <c r="A105" s="62">
        <v>46112</v>
      </c>
      <c r="B105" s="63" t="s">
        <v>108</v>
      </c>
      <c r="C105" s="63" t="s">
        <v>108</v>
      </c>
      <c r="D105" s="60">
        <v>-4.2881894245794427</v>
      </c>
    </row>
    <row r="106" spans="1:4" x14ac:dyDescent="0.25">
      <c r="A106" s="62">
        <v>46111</v>
      </c>
      <c r="B106" s="60">
        <v>-11.568773234200744</v>
      </c>
      <c r="C106" s="61">
        <v>492229</v>
      </c>
      <c r="D106" s="60">
        <v>-4.4591491377499564</v>
      </c>
    </row>
    <row r="107" spans="1:4" x14ac:dyDescent="0.25">
      <c r="A107" s="62">
        <v>46108</v>
      </c>
      <c r="B107" s="60">
        <v>-10.817843866171003</v>
      </c>
      <c r="C107" s="61">
        <v>540647</v>
      </c>
      <c r="D107" s="60">
        <v>-3.7584361794512295</v>
      </c>
    </row>
    <row r="108" spans="1:4" x14ac:dyDescent="0.25">
      <c r="A108" s="62">
        <v>46107</v>
      </c>
      <c r="B108" s="63" t="s">
        <v>108</v>
      </c>
      <c r="C108" s="63" t="s">
        <v>108</v>
      </c>
      <c r="D108" s="60">
        <v>-5.9413597971329102</v>
      </c>
    </row>
    <row r="109" spans="1:4" x14ac:dyDescent="0.25">
      <c r="A109" s="62">
        <v>46106</v>
      </c>
      <c r="B109" s="60">
        <v>-10.565055762081784</v>
      </c>
      <c r="C109" s="61">
        <v>250204</v>
      </c>
      <c r="D109" s="60">
        <v>-4.8007079868201767</v>
      </c>
    </row>
    <row r="110" spans="1:4" x14ac:dyDescent="0.25">
      <c r="A110" s="62">
        <v>46105</v>
      </c>
      <c r="B110" s="60">
        <v>-10.394052044609666</v>
      </c>
      <c r="C110" s="61">
        <v>228968</v>
      </c>
      <c r="D110" s="60">
        <v>-6.0301509527892234</v>
      </c>
    </row>
    <row r="111" spans="1:4" x14ac:dyDescent="0.25">
      <c r="A111" s="62">
        <v>46104</v>
      </c>
      <c r="B111" s="60">
        <v>-10.579925650557621</v>
      </c>
      <c r="C111" s="61">
        <v>227221</v>
      </c>
      <c r="D111" s="60">
        <v>-8.3291561978198647</v>
      </c>
    </row>
    <row r="112" spans="1:4" x14ac:dyDescent="0.25">
      <c r="A112" s="62">
        <v>46101</v>
      </c>
      <c r="B112" s="60">
        <v>-9.2936802973977688</v>
      </c>
      <c r="C112" s="61">
        <v>283471</v>
      </c>
      <c r="D112" s="60">
        <v>-4.8697848913031692</v>
      </c>
    </row>
    <row r="113" spans="1:4" x14ac:dyDescent="0.25">
      <c r="A113" s="62">
        <v>46100</v>
      </c>
      <c r="B113" s="60">
        <v>-11.189591078066915</v>
      </c>
      <c r="C113" s="61">
        <v>122495</v>
      </c>
      <c r="D113" s="60">
        <v>-4.1955072486545442</v>
      </c>
    </row>
    <row r="114" spans="1:4" x14ac:dyDescent="0.25">
      <c r="A114" s="62">
        <v>46099</v>
      </c>
      <c r="B114" s="60">
        <v>-8.6988847583643114</v>
      </c>
      <c r="C114" s="61">
        <v>180112</v>
      </c>
      <c r="D114" s="60">
        <v>-1.5018302972875421</v>
      </c>
    </row>
    <row r="115" spans="1:4" x14ac:dyDescent="0.25">
      <c r="A115" s="62">
        <v>46098</v>
      </c>
      <c r="B115" s="60">
        <v>-9.4944237918215606</v>
      </c>
      <c r="C115" s="61">
        <v>183604</v>
      </c>
      <c r="D115" s="60">
        <v>-2.2794270097786749</v>
      </c>
    </row>
    <row r="116" spans="1:4" x14ac:dyDescent="0.25">
      <c r="A116" s="62">
        <v>46097</v>
      </c>
      <c r="B116" s="60">
        <v>-9.7249070631970262</v>
      </c>
      <c r="C116" s="61">
        <v>282845</v>
      </c>
      <c r="D116" s="60">
        <v>-2.5397668607044674</v>
      </c>
    </row>
    <row r="117" spans="1:4" x14ac:dyDescent="0.25">
      <c r="A117" s="62">
        <v>46094</v>
      </c>
      <c r="B117" s="60">
        <v>-9.7249070631970262</v>
      </c>
      <c r="C117" s="61">
        <v>200936</v>
      </c>
      <c r="D117" s="60">
        <v>-3.4205822634866636</v>
      </c>
    </row>
    <row r="118" spans="1:4" x14ac:dyDescent="0.25">
      <c r="A118" s="62">
        <v>46093</v>
      </c>
      <c r="B118" s="60">
        <v>-6.5873605947955394</v>
      </c>
      <c r="C118" s="61">
        <v>153876</v>
      </c>
      <c r="D118" s="60">
        <v>-1.5672204189973293</v>
      </c>
    </row>
    <row r="119" spans="1:4" x14ac:dyDescent="0.25">
      <c r="A119" s="62">
        <v>46092</v>
      </c>
      <c r="B119" s="60">
        <v>-5.5390334572490705</v>
      </c>
      <c r="C119" s="61">
        <v>254117</v>
      </c>
      <c r="D119" s="60">
        <v>-8.4921416981673964E-2</v>
      </c>
    </row>
    <row r="120" spans="1:4" x14ac:dyDescent="0.25">
      <c r="A120" s="62">
        <v>46091</v>
      </c>
      <c r="B120" s="60">
        <v>-5.2490706319702598</v>
      </c>
      <c r="C120" s="61">
        <v>298252</v>
      </c>
      <c r="D120" s="60">
        <v>0.51120512015223851</v>
      </c>
    </row>
    <row r="121" spans="1:4" x14ac:dyDescent="0.25">
      <c r="A121" s="62">
        <v>46090</v>
      </c>
      <c r="B121" s="60">
        <v>-5.8736059479553901</v>
      </c>
      <c r="C121" s="61">
        <v>260778</v>
      </c>
      <c r="D121" s="60">
        <v>-2.2167559654379945</v>
      </c>
    </row>
    <row r="122" spans="1:4" x14ac:dyDescent="0.25">
      <c r="A122" s="62">
        <v>46087</v>
      </c>
      <c r="B122" s="60">
        <v>-5.8884758364312271</v>
      </c>
      <c r="C122" s="61">
        <v>269349</v>
      </c>
      <c r="D122" s="60">
        <v>-0.64120053626447659</v>
      </c>
    </row>
    <row r="123" spans="1:4" x14ac:dyDescent="0.25">
      <c r="A123" s="62">
        <v>46086</v>
      </c>
      <c r="B123" s="60">
        <v>-5.3605947955390336</v>
      </c>
      <c r="C123" s="61">
        <v>291293</v>
      </c>
      <c r="D123" s="60">
        <v>-2.5325457385683792</v>
      </c>
    </row>
    <row r="124" spans="1:4" x14ac:dyDescent="0.25">
      <c r="A124" s="62">
        <v>46085</v>
      </c>
      <c r="B124" s="60">
        <v>-6.0817843866171</v>
      </c>
      <c r="C124" s="61">
        <v>369392</v>
      </c>
      <c r="D124" s="60">
        <v>-4.2369594533431103</v>
      </c>
    </row>
    <row r="125" spans="1:4" x14ac:dyDescent="0.25">
      <c r="A125" s="62">
        <v>46084</v>
      </c>
      <c r="B125" s="63" t="s">
        <v>108</v>
      </c>
      <c r="C125" s="63" t="s">
        <v>108</v>
      </c>
      <c r="D125" s="60">
        <v>-2.0532988046768099</v>
      </c>
    </row>
    <row r="126" spans="1:4" x14ac:dyDescent="0.25">
      <c r="A126" s="62">
        <v>46083</v>
      </c>
      <c r="B126" s="60">
        <v>-4.7806691449814123</v>
      </c>
      <c r="C126" s="61">
        <v>300339</v>
      </c>
      <c r="D126" s="60">
        <v>8.8896659027853014E-2</v>
      </c>
    </row>
    <row r="127" spans="1:4" x14ac:dyDescent="0.25">
      <c r="A127" s="62">
        <v>46080</v>
      </c>
      <c r="B127" s="60">
        <v>-4.7063197026022303</v>
      </c>
      <c r="C127" s="61">
        <v>466870</v>
      </c>
      <c r="D127" s="60">
        <v>2.7118577215491397</v>
      </c>
    </row>
    <row r="128" spans="1:4" x14ac:dyDescent="0.25">
      <c r="A128" s="62">
        <v>46079</v>
      </c>
      <c r="B128" s="60">
        <v>-3.7323420074349443</v>
      </c>
      <c r="C128" s="61">
        <v>392374</v>
      </c>
      <c r="D128" s="60">
        <v>2.4475321781113051</v>
      </c>
    </row>
    <row r="129" spans="1:4" x14ac:dyDescent="0.25">
      <c r="A129" s="62">
        <v>46078</v>
      </c>
      <c r="B129" s="60">
        <v>-4.8996282527881041</v>
      </c>
      <c r="C129" s="61">
        <v>348440</v>
      </c>
      <c r="D129" s="60">
        <v>4.7017155860207733</v>
      </c>
    </row>
    <row r="130" spans="1:4" x14ac:dyDescent="0.25">
      <c r="A130" s="62">
        <v>46077</v>
      </c>
      <c r="B130" s="60">
        <v>-6.9814126394052041</v>
      </c>
      <c r="C130" s="61">
        <v>92139</v>
      </c>
      <c r="D130" s="60">
        <v>4.0035697766359188</v>
      </c>
    </row>
    <row r="131" spans="1:4" x14ac:dyDescent="0.25">
      <c r="A131" s="62">
        <v>46076</v>
      </c>
      <c r="B131" s="60">
        <v>-6.4163568773234196</v>
      </c>
      <c r="C131" s="61">
        <v>97285</v>
      </c>
      <c r="D131" s="60">
        <v>5.3442012563977555</v>
      </c>
    </row>
    <row r="132" spans="1:4" x14ac:dyDescent="0.25">
      <c r="A132" s="62">
        <v>46073</v>
      </c>
      <c r="B132" s="60">
        <v>-6.4535315985130115</v>
      </c>
      <c r="C132" s="61">
        <v>338573</v>
      </c>
      <c r="D132" s="60">
        <v>4.2511898544558422</v>
      </c>
    </row>
    <row r="133" spans="1:4" x14ac:dyDescent="0.25">
      <c r="A133" s="62">
        <v>46072</v>
      </c>
      <c r="B133" s="60">
        <v>-6.3568773234200746</v>
      </c>
      <c r="C133" s="61">
        <v>185828</v>
      </c>
      <c r="D133" s="60">
        <v>3.7551088807824522</v>
      </c>
    </row>
    <row r="134" spans="1:4" x14ac:dyDescent="0.25">
      <c r="A134" s="62">
        <v>46071</v>
      </c>
      <c r="B134" s="60">
        <v>-6.5650557620817844</v>
      </c>
      <c r="C134" s="61">
        <v>438670</v>
      </c>
      <c r="D134" s="60">
        <v>3.9718608329880802</v>
      </c>
    </row>
    <row r="135" spans="1:4" x14ac:dyDescent="0.25">
      <c r="A135" s="62">
        <v>46070</v>
      </c>
      <c r="B135" s="60">
        <v>-7.992565055762082</v>
      </c>
      <c r="C135" s="61">
        <v>151261</v>
      </c>
      <c r="D135" s="60">
        <v>3.9166294905600458</v>
      </c>
    </row>
    <row r="136" spans="1:4" x14ac:dyDescent="0.25">
      <c r="A136" s="62">
        <v>46069</v>
      </c>
      <c r="B136" s="60">
        <v>-8.5576208178438655</v>
      </c>
      <c r="C136" s="61">
        <v>175634</v>
      </c>
      <c r="D136" s="60">
        <v>3.7193020448998051</v>
      </c>
    </row>
    <row r="137" spans="1:4" x14ac:dyDescent="0.25">
      <c r="A137" s="62">
        <v>46066</v>
      </c>
      <c r="B137" s="60">
        <v>-8.2750929368029738</v>
      </c>
      <c r="C137" s="61">
        <v>299364</v>
      </c>
      <c r="D137" s="60">
        <v>3.3085306791245435</v>
      </c>
    </row>
    <row r="138" spans="1:4" x14ac:dyDescent="0.25">
      <c r="A138" s="62">
        <v>46065</v>
      </c>
      <c r="B138" s="60">
        <v>-8.0297397769516721</v>
      </c>
      <c r="C138" s="61">
        <v>1200795</v>
      </c>
      <c r="D138" s="60">
        <v>4.176894918313498</v>
      </c>
    </row>
    <row r="139" spans="1:4" x14ac:dyDescent="0.25">
      <c r="A139" s="62">
        <v>46064</v>
      </c>
      <c r="B139" s="60">
        <v>-5.033457249070632</v>
      </c>
      <c r="C139" s="61">
        <v>1263189</v>
      </c>
      <c r="D139" s="60">
        <v>5.0924557347859825</v>
      </c>
    </row>
    <row r="140" spans="1:4" x14ac:dyDescent="0.25">
      <c r="A140" s="62">
        <v>46063</v>
      </c>
      <c r="B140" s="60">
        <v>-8.1710037174721197</v>
      </c>
      <c r="C140" s="61">
        <v>237887</v>
      </c>
      <c r="D140" s="60">
        <v>4.5390210588636295</v>
      </c>
    </row>
    <row r="141" spans="1:4" x14ac:dyDescent="0.25">
      <c r="A141" s="62">
        <v>46062</v>
      </c>
      <c r="B141" s="60">
        <v>-9.092936802973977</v>
      </c>
      <c r="C141" s="61">
        <v>219396</v>
      </c>
      <c r="D141" s="60">
        <v>3.401673205190471</v>
      </c>
    </row>
    <row r="142" spans="1:4" x14ac:dyDescent="0.25">
      <c r="A142" s="62">
        <v>46059</v>
      </c>
      <c r="B142" s="60">
        <v>-10.41635687732342</v>
      </c>
      <c r="C142" s="61">
        <v>433945</v>
      </c>
      <c r="D142" s="60">
        <v>1.814814689998792</v>
      </c>
    </row>
    <row r="143" spans="1:4" x14ac:dyDescent="0.25">
      <c r="A143" s="62">
        <v>46058</v>
      </c>
      <c r="B143" s="60">
        <v>-8.6765799256505574</v>
      </c>
      <c r="C143" s="61">
        <v>370561</v>
      </c>
      <c r="D143" s="60">
        <v>2.1726318605841342</v>
      </c>
    </row>
    <row r="144" spans="1:4" x14ac:dyDescent="0.25">
      <c r="A144" s="62">
        <v>46057</v>
      </c>
      <c r="B144" s="60">
        <v>-9.9702602230483279</v>
      </c>
      <c r="C144" s="61">
        <v>327213</v>
      </c>
      <c r="D144" s="60">
        <v>2.4008778142174956</v>
      </c>
    </row>
    <row r="145" spans="1:4" x14ac:dyDescent="0.25">
      <c r="A145" s="62">
        <v>46056</v>
      </c>
      <c r="B145" s="60">
        <v>-7.6728624535315983</v>
      </c>
      <c r="C145" s="61">
        <v>454227</v>
      </c>
      <c r="D145" s="60">
        <v>2.1459027304497051</v>
      </c>
    </row>
    <row r="146" spans="1:4" x14ac:dyDescent="0.25">
      <c r="A146" s="62">
        <v>46055</v>
      </c>
      <c r="B146" s="60">
        <v>-11.486988847583643</v>
      </c>
      <c r="C146" s="61">
        <v>400656</v>
      </c>
      <c r="D146" s="60">
        <v>-0.27090270870304373</v>
      </c>
    </row>
    <row r="147" spans="1:4" x14ac:dyDescent="0.25">
      <c r="A147" s="62">
        <v>46054</v>
      </c>
      <c r="B147" s="60">
        <v>-9.9479553903345721</v>
      </c>
      <c r="C147" s="61">
        <v>144120</v>
      </c>
      <c r="D147" s="63" t="s">
        <v>108</v>
      </c>
    </row>
    <row r="148" spans="1:4" x14ac:dyDescent="0.25">
      <c r="A148" s="62">
        <v>46052</v>
      </c>
      <c r="B148" s="60">
        <v>-10.022304832713754</v>
      </c>
      <c r="C148" s="61">
        <v>347165</v>
      </c>
      <c r="D148" s="60">
        <v>1.8936147979563396</v>
      </c>
    </row>
    <row r="149" spans="1:4" x14ac:dyDescent="0.25">
      <c r="A149" s="62">
        <v>46051</v>
      </c>
      <c r="B149" s="60">
        <v>-10.17100371747212</v>
      </c>
      <c r="C149" s="61">
        <v>405502</v>
      </c>
      <c r="D149" s="60">
        <v>2.7928102890206929</v>
      </c>
    </row>
    <row r="150" spans="1:4" x14ac:dyDescent="0.25">
      <c r="A150" s="62">
        <v>46050</v>
      </c>
      <c r="B150" s="60">
        <v>-7.985130111524164</v>
      </c>
      <c r="C150" s="61">
        <v>335259</v>
      </c>
      <c r="D150" s="60">
        <v>3.3660782023474467</v>
      </c>
    </row>
    <row r="151" spans="1:4" x14ac:dyDescent="0.25">
      <c r="A151" s="62">
        <v>46049</v>
      </c>
      <c r="B151" s="60">
        <v>-9.9479553903345721</v>
      </c>
      <c r="C151" s="61">
        <v>367912</v>
      </c>
      <c r="D151" s="60">
        <v>2.9285615441110204</v>
      </c>
    </row>
    <row r="152" spans="1:4" x14ac:dyDescent="0.25">
      <c r="A152" s="62">
        <v>46048</v>
      </c>
      <c r="B152" s="63" t="s">
        <v>108</v>
      </c>
      <c r="C152" s="63" t="s">
        <v>108</v>
      </c>
      <c r="D152" s="60">
        <v>2.4516535647894035</v>
      </c>
    </row>
    <row r="153" spans="1:4" x14ac:dyDescent="0.25">
      <c r="A153" s="62">
        <v>46045</v>
      </c>
      <c r="B153" s="60">
        <v>-10.609665427509293</v>
      </c>
      <c r="C153" s="61">
        <v>460503</v>
      </c>
      <c r="D153" s="60">
        <v>3.1094196999777237</v>
      </c>
    </row>
    <row r="154" spans="1:4" x14ac:dyDescent="0.25">
      <c r="A154" s="62">
        <v>46044</v>
      </c>
      <c r="B154" s="60">
        <v>-9.7249070631970262</v>
      </c>
      <c r="C154" s="61">
        <v>372206</v>
      </c>
      <c r="D154" s="60">
        <v>2.3959565473259623</v>
      </c>
    </row>
    <row r="155" spans="1:4" x14ac:dyDescent="0.25">
      <c r="A155" s="62">
        <v>46043</v>
      </c>
      <c r="B155" s="60">
        <v>-10.631970260223047</v>
      </c>
      <c r="C155" s="61">
        <v>324388</v>
      </c>
      <c r="D155" s="60">
        <v>2.4167842159666488</v>
      </c>
    </row>
    <row r="156" spans="1:4" x14ac:dyDescent="0.25">
      <c r="A156" s="62">
        <v>46042</v>
      </c>
      <c r="B156" s="60">
        <v>-10.587360594795539</v>
      </c>
      <c r="C156" s="61">
        <v>204440</v>
      </c>
      <c r="D156" s="60">
        <v>2.8613556944568268</v>
      </c>
    </row>
    <row r="157" spans="1:4" x14ac:dyDescent="0.25">
      <c r="A157" s="62">
        <v>46041</v>
      </c>
      <c r="B157" s="60">
        <v>-8.6988847583643114</v>
      </c>
      <c r="C157" s="61">
        <v>351743</v>
      </c>
      <c r="D157" s="60">
        <v>4.1770596409660241</v>
      </c>
    </row>
    <row r="158" spans="1:4" x14ac:dyDescent="0.25">
      <c r="A158" s="62">
        <v>46038</v>
      </c>
      <c r="B158" s="60">
        <v>-7.2713754646840147</v>
      </c>
      <c r="C158" s="61">
        <v>409423</v>
      </c>
      <c r="D158" s="60">
        <v>6.0110478587098282</v>
      </c>
    </row>
    <row r="159" spans="1:4" x14ac:dyDescent="0.25">
      <c r="A159" s="62">
        <v>46037</v>
      </c>
      <c r="B159" s="63" t="s">
        <v>108</v>
      </c>
      <c r="C159" s="63" t="s">
        <v>108</v>
      </c>
      <c r="D159" s="60">
        <v>6.7202176537539806</v>
      </c>
    </row>
    <row r="160" spans="1:4" x14ac:dyDescent="0.25">
      <c r="A160" s="62">
        <v>46036</v>
      </c>
      <c r="B160" s="60">
        <v>-5.4944237918215615</v>
      </c>
      <c r="C160" s="61">
        <v>524643</v>
      </c>
      <c r="D160" s="60">
        <v>6.9278105051722099</v>
      </c>
    </row>
    <row r="161" spans="1:4" x14ac:dyDescent="0.25">
      <c r="A161" s="62">
        <v>46035</v>
      </c>
      <c r="B161" s="60">
        <v>-4.2899628252788107</v>
      </c>
      <c r="C161" s="61">
        <v>253726</v>
      </c>
      <c r="D161" s="60">
        <v>6.6686320442473175</v>
      </c>
    </row>
    <row r="162" spans="1:4" x14ac:dyDescent="0.25">
      <c r="A162" s="62">
        <v>46034</v>
      </c>
      <c r="B162" s="60">
        <v>-3.5613382899628254</v>
      </c>
      <c r="C162" s="61">
        <v>665870</v>
      </c>
      <c r="D162" s="60">
        <v>5.7606204326888681</v>
      </c>
    </row>
    <row r="163" spans="1:4" x14ac:dyDescent="0.25">
      <c r="A163" s="62">
        <v>46031</v>
      </c>
      <c r="B163" s="60">
        <v>-1.6133828996282529</v>
      </c>
      <c r="C163" s="61">
        <v>351042</v>
      </c>
      <c r="D163" s="60">
        <v>5.6612944980197266</v>
      </c>
    </row>
    <row r="164" spans="1:4" x14ac:dyDescent="0.25">
      <c r="A164" s="62">
        <v>46030</v>
      </c>
      <c r="B164" s="60">
        <v>-1.8513011152416357</v>
      </c>
      <c r="C164" s="61">
        <v>331547</v>
      </c>
      <c r="D164" s="60">
        <v>5.396124304098656</v>
      </c>
    </row>
    <row r="165" spans="1:4" x14ac:dyDescent="0.25">
      <c r="A165" s="62">
        <v>46029</v>
      </c>
      <c r="B165" s="60">
        <v>-1.2267657992565055</v>
      </c>
      <c r="C165" s="61">
        <v>423884</v>
      </c>
      <c r="D165" s="60">
        <v>5.9016600548520231</v>
      </c>
    </row>
    <row r="166" spans="1:4" x14ac:dyDescent="0.25">
      <c r="A166" s="62">
        <v>46028</v>
      </c>
      <c r="B166" s="60">
        <v>-1.2267657992565055</v>
      </c>
      <c r="C166" s="61">
        <v>732441</v>
      </c>
      <c r="D166" s="60">
        <v>3.1859907038722071</v>
      </c>
    </row>
    <row r="167" spans="1:4" x14ac:dyDescent="0.25">
      <c r="A167" s="62">
        <v>46027</v>
      </c>
      <c r="B167" s="60">
        <v>-5.3754646840148697</v>
      </c>
      <c r="C167" s="61">
        <v>145454</v>
      </c>
      <c r="D167" s="60">
        <v>2.1822210407877729</v>
      </c>
    </row>
    <row r="168" spans="1:4" x14ac:dyDescent="0.25">
      <c r="A168" s="62">
        <v>46024</v>
      </c>
      <c r="B168" s="60">
        <v>-4.9442379182156131</v>
      </c>
      <c r="C168" s="61">
        <v>108528</v>
      </c>
      <c r="D168" s="60">
        <v>0.22709555284590513</v>
      </c>
    </row>
    <row r="169" spans="1:4" x14ac:dyDescent="0.25">
      <c r="A169" s="62">
        <v>46023</v>
      </c>
      <c r="B169" s="60">
        <v>-5.6654275092936803</v>
      </c>
      <c r="C169" s="61">
        <v>146473</v>
      </c>
      <c r="D169" s="60">
        <v>-0.68647439064706994</v>
      </c>
    </row>
    <row r="170" spans="1:4" x14ac:dyDescent="0.25">
      <c r="A170" s="62">
        <v>46022</v>
      </c>
      <c r="B170" s="60">
        <v>-4.9442379182156131</v>
      </c>
      <c r="C170" s="61">
        <v>273233</v>
      </c>
      <c r="D170" s="60">
        <v>-0.56644539746071199</v>
      </c>
    </row>
    <row r="171" spans="1:4" x14ac:dyDescent="0.25">
      <c r="A171" s="62">
        <v>46021</v>
      </c>
      <c r="B171" s="60">
        <v>-5.4200743494423795</v>
      </c>
      <c r="C171" s="61">
        <v>1927570</v>
      </c>
      <c r="D171" s="60">
        <v>-0.26869555658454103</v>
      </c>
    </row>
    <row r="172" spans="1:4" x14ac:dyDescent="0.25">
      <c r="A172" s="62">
        <v>46020</v>
      </c>
      <c r="B172" s="60">
        <v>-4.9739776951672861</v>
      </c>
      <c r="C172" s="61">
        <v>244981</v>
      </c>
      <c r="D172" s="60">
        <v>0.19230845246356545</v>
      </c>
    </row>
    <row r="173" spans="1:4" x14ac:dyDescent="0.25">
      <c r="A173" s="62">
        <v>46017</v>
      </c>
      <c r="B173" s="60">
        <v>-4.4237918215613385</v>
      </c>
      <c r="C173" s="61">
        <v>252704</v>
      </c>
      <c r="D173" s="60">
        <v>1.2687603986087441</v>
      </c>
    </row>
    <row r="174" spans="1:4" x14ac:dyDescent="0.25">
      <c r="A174" s="62">
        <v>46016</v>
      </c>
      <c r="B174" s="63" t="s">
        <v>108</v>
      </c>
      <c r="C174" s="63" t="s">
        <v>108</v>
      </c>
      <c r="D174" s="60">
        <v>1.4075610510048404</v>
      </c>
    </row>
    <row r="175" spans="1:4" x14ac:dyDescent="0.25">
      <c r="A175" s="62">
        <v>46015</v>
      </c>
      <c r="B175" s="60">
        <v>-3.3977695167286246</v>
      </c>
      <c r="C175" s="61">
        <v>252785</v>
      </c>
      <c r="D175" s="60">
        <v>1.4082715925891367</v>
      </c>
    </row>
    <row r="176" spans="1:4" x14ac:dyDescent="0.25">
      <c r="A176" s="62">
        <v>46014</v>
      </c>
      <c r="B176" s="60">
        <v>-3.6951672862453533</v>
      </c>
      <c r="C176" s="61">
        <v>192477</v>
      </c>
      <c r="D176" s="60">
        <v>1.9370135572784324</v>
      </c>
    </row>
    <row r="177" spans="1:4" x14ac:dyDescent="0.25">
      <c r="A177" s="62">
        <v>46013</v>
      </c>
      <c r="B177" s="60">
        <v>-3.1747211895910779</v>
      </c>
      <c r="C177" s="61">
        <v>255434</v>
      </c>
      <c r="D177" s="60">
        <v>2.1019718294396581</v>
      </c>
    </row>
    <row r="178" spans="1:4" x14ac:dyDescent="0.25">
      <c r="A178" s="62">
        <v>46010</v>
      </c>
      <c r="B178" s="60">
        <v>-3.6654275092936803</v>
      </c>
      <c r="C178" s="61">
        <v>785205</v>
      </c>
      <c r="D178" s="60">
        <v>2.3567156091649357</v>
      </c>
    </row>
    <row r="179" spans="1:4" x14ac:dyDescent="0.25">
      <c r="A179" s="62">
        <v>46009</v>
      </c>
      <c r="B179" s="60">
        <v>-5.1301115241635689</v>
      </c>
      <c r="C179" s="61">
        <v>396678</v>
      </c>
      <c r="D179" s="60">
        <v>0.49150797115938805</v>
      </c>
    </row>
    <row r="180" spans="1:4" x14ac:dyDescent="0.25">
      <c r="A180" s="62">
        <v>46008</v>
      </c>
      <c r="B180" s="60">
        <v>-6.4237918215613385</v>
      </c>
      <c r="C180" s="61">
        <v>194825</v>
      </c>
      <c r="D180" s="60">
        <v>0.30518344769349931</v>
      </c>
    </row>
    <row r="181" spans="1:4" x14ac:dyDescent="0.25">
      <c r="A181" s="62">
        <v>46007</v>
      </c>
      <c r="B181" s="60">
        <v>-5.7918215613382902</v>
      </c>
      <c r="C181" s="61">
        <v>169831</v>
      </c>
      <c r="D181" s="60">
        <v>-0.15235818483274013</v>
      </c>
    </row>
    <row r="182" spans="1:4" x14ac:dyDescent="0.25">
      <c r="A182" s="62">
        <v>46006</v>
      </c>
      <c r="B182" s="60">
        <v>-5.6133828996282524</v>
      </c>
      <c r="C182" s="61">
        <v>131176</v>
      </c>
      <c r="D182" s="60">
        <v>0.75326841330623706</v>
      </c>
    </row>
    <row r="183" spans="1:4" x14ac:dyDescent="0.25">
      <c r="A183" s="62">
        <v>46003</v>
      </c>
      <c r="B183" s="60">
        <v>-4.4386617100371746</v>
      </c>
      <c r="C183" s="61">
        <v>128635</v>
      </c>
      <c r="D183" s="60">
        <v>3.1891641400244657</v>
      </c>
    </row>
    <row r="184" spans="1:4" x14ac:dyDescent="0.25">
      <c r="A184" s="62">
        <v>46002</v>
      </c>
      <c r="B184" s="60">
        <v>-4.3866171003717476</v>
      </c>
      <c r="C184" s="61">
        <v>264850</v>
      </c>
      <c r="D184" s="60">
        <v>2.6191830810181647</v>
      </c>
    </row>
    <row r="185" spans="1:4" x14ac:dyDescent="0.25">
      <c r="A185" s="62">
        <v>46001</v>
      </c>
      <c r="B185" s="60">
        <v>-6.4014869888475836</v>
      </c>
      <c r="C185" s="61">
        <v>270852</v>
      </c>
      <c r="D185" s="60">
        <v>2.7517905477524378</v>
      </c>
    </row>
    <row r="186" spans="1:4" x14ac:dyDescent="0.25">
      <c r="A186" s="62">
        <v>46000</v>
      </c>
      <c r="B186" s="60">
        <v>-6.4089219330855016</v>
      </c>
      <c r="C186" s="61">
        <v>236524</v>
      </c>
      <c r="D186" s="60">
        <v>2.9980397137728745</v>
      </c>
    </row>
    <row r="187" spans="1:4" x14ac:dyDescent="0.25">
      <c r="A187" s="62">
        <v>45999</v>
      </c>
      <c r="B187" s="60">
        <v>-5.8959107806691451</v>
      </c>
      <c r="C187" s="61">
        <v>179082</v>
      </c>
      <c r="D187" s="60">
        <v>3.4974839290451714</v>
      </c>
    </row>
    <row r="188" spans="1:4" x14ac:dyDescent="0.25">
      <c r="A188" s="62">
        <v>45996</v>
      </c>
      <c r="B188" s="60">
        <v>-3.7397769516728623</v>
      </c>
      <c r="C188" s="61">
        <v>148911</v>
      </c>
      <c r="D188" s="60">
        <v>4.2773197089250354</v>
      </c>
    </row>
    <row r="189" spans="1:4" x14ac:dyDescent="0.25">
      <c r="A189" s="62">
        <v>45995</v>
      </c>
      <c r="B189" s="60">
        <v>-3.8066914498141262</v>
      </c>
      <c r="C189" s="61">
        <v>200558</v>
      </c>
      <c r="D189" s="60">
        <v>4.551625238722826</v>
      </c>
    </row>
    <row r="190" spans="1:4" x14ac:dyDescent="0.25">
      <c r="A190" s="62">
        <v>45994</v>
      </c>
      <c r="B190" s="60">
        <v>-4.014869888475836</v>
      </c>
      <c r="C190" s="61">
        <v>278865</v>
      </c>
      <c r="D190" s="60">
        <v>2.934259746884198</v>
      </c>
    </row>
    <row r="191" spans="1:4" x14ac:dyDescent="0.25">
      <c r="A191" s="62">
        <v>45993</v>
      </c>
      <c r="B191" s="60">
        <v>-4.5724907063197024</v>
      </c>
      <c r="C191" s="61">
        <v>151910</v>
      </c>
      <c r="D191" s="60">
        <v>3.813913111204482</v>
      </c>
    </row>
    <row r="192" spans="1:4" x14ac:dyDescent="0.25">
      <c r="A192" s="62">
        <v>45992</v>
      </c>
      <c r="B192" s="60">
        <v>-4.4981412639405205</v>
      </c>
      <c r="C192" s="61">
        <v>100192</v>
      </c>
      <c r="D192" s="60">
        <v>4.8075485784424474</v>
      </c>
    </row>
    <row r="193" spans="1:4" x14ac:dyDescent="0.25">
      <c r="A193" s="62">
        <v>45989</v>
      </c>
      <c r="B193" s="60">
        <v>-3.6877323420074348</v>
      </c>
      <c r="C193" s="61">
        <v>250130</v>
      </c>
      <c r="D193" s="60">
        <v>4.9800841842736219</v>
      </c>
    </row>
    <row r="194" spans="1:4" x14ac:dyDescent="0.25">
      <c r="A194" s="62">
        <v>45988</v>
      </c>
      <c r="B194" s="60">
        <v>-3.486988847583643</v>
      </c>
      <c r="C194" s="61">
        <v>95681</v>
      </c>
      <c r="D194" s="60">
        <v>5.2450714797721103</v>
      </c>
    </row>
    <row r="195" spans="1:4" x14ac:dyDescent="0.25">
      <c r="A195" s="62">
        <v>45987</v>
      </c>
      <c r="B195" s="60">
        <v>-3.1970260223048328</v>
      </c>
      <c r="C195" s="61">
        <v>126970</v>
      </c>
      <c r="D195" s="60">
        <v>5.0368851887476307</v>
      </c>
    </row>
    <row r="196" spans="1:4" x14ac:dyDescent="0.25">
      <c r="A196" s="62">
        <v>45986</v>
      </c>
      <c r="B196" s="60">
        <v>-4.6542750929368033</v>
      </c>
      <c r="C196" s="61">
        <v>179873</v>
      </c>
      <c r="D196" s="60">
        <v>3.6592645428948032</v>
      </c>
    </row>
    <row r="197" spans="1:4" x14ac:dyDescent="0.25">
      <c r="A197" s="62">
        <v>45985</v>
      </c>
      <c r="B197" s="60">
        <v>-5.4423791821561336</v>
      </c>
      <c r="C197" s="61">
        <v>393803</v>
      </c>
      <c r="D197" s="60">
        <v>2.9686637146120285</v>
      </c>
    </row>
    <row r="198" spans="1:4" x14ac:dyDescent="0.25">
      <c r="A198" s="62">
        <v>45982</v>
      </c>
      <c r="B198" s="60">
        <v>-5.2342007434944238</v>
      </c>
      <c r="C198" s="61">
        <v>130843</v>
      </c>
      <c r="D198" s="60">
        <v>0.97408590240704429</v>
      </c>
    </row>
    <row r="199" spans="1:4" x14ac:dyDescent="0.25">
      <c r="A199" s="62">
        <v>45981</v>
      </c>
      <c r="B199" s="60">
        <v>-3.9033457249070631</v>
      </c>
      <c r="C199" s="61">
        <v>114162</v>
      </c>
      <c r="D199" s="60">
        <v>4.0656742725038919</v>
      </c>
    </row>
    <row r="200" spans="1:4" x14ac:dyDescent="0.25">
      <c r="A200" s="62">
        <v>45980</v>
      </c>
      <c r="B200" s="60">
        <v>-4.029739776951673</v>
      </c>
      <c r="C200" s="61">
        <v>128134</v>
      </c>
      <c r="D200" s="60">
        <v>3.8389804177388651</v>
      </c>
    </row>
    <row r="201" spans="1:4" x14ac:dyDescent="0.25">
      <c r="A201" s="62">
        <v>45979</v>
      </c>
      <c r="B201" s="60">
        <v>-3.7397769516728623</v>
      </c>
      <c r="C201" s="61">
        <v>162830</v>
      </c>
      <c r="D201" s="60">
        <v>4.1919674003688092</v>
      </c>
    </row>
    <row r="202" spans="1:4" x14ac:dyDescent="0.25">
      <c r="A202" s="62">
        <v>45978</v>
      </c>
      <c r="B202" s="60">
        <v>-3.0706319702602229</v>
      </c>
      <c r="C202" s="61">
        <v>242726</v>
      </c>
      <c r="D202" s="60">
        <v>5.4916691320066402</v>
      </c>
    </row>
    <row r="203" spans="1:4" x14ac:dyDescent="0.25">
      <c r="A203" s="62">
        <v>45975</v>
      </c>
      <c r="B203" s="60">
        <v>-3.1747211895910779</v>
      </c>
      <c r="C203" s="61">
        <v>147365</v>
      </c>
      <c r="D203" s="60">
        <v>6.6640970022009078</v>
      </c>
    </row>
    <row r="204" spans="1:4" x14ac:dyDescent="0.25">
      <c r="A204" s="62">
        <v>45974</v>
      </c>
      <c r="B204" s="60">
        <v>-1.9553903345724908</v>
      </c>
      <c r="C204" s="61">
        <v>397401</v>
      </c>
      <c r="D204" s="60">
        <v>7.098965367569412</v>
      </c>
    </row>
    <row r="205" spans="1:4" x14ac:dyDescent="0.25">
      <c r="A205" s="62">
        <v>45973</v>
      </c>
      <c r="B205" s="60">
        <v>-3.0483271375464684</v>
      </c>
      <c r="C205" s="61">
        <v>476290</v>
      </c>
      <c r="D205" s="60">
        <v>4.7792433369585678</v>
      </c>
    </row>
    <row r="206" spans="1:4" x14ac:dyDescent="0.25">
      <c r="A206" s="62">
        <v>45972</v>
      </c>
      <c r="B206" s="60">
        <v>-2.7583643122676582</v>
      </c>
      <c r="C206" s="61">
        <v>388972</v>
      </c>
      <c r="D206" s="60">
        <v>3.1349874842509751</v>
      </c>
    </row>
    <row r="207" spans="1:4" x14ac:dyDescent="0.25">
      <c r="A207" s="62">
        <v>45971</v>
      </c>
      <c r="B207" s="60">
        <v>-0.49814126394052044</v>
      </c>
      <c r="C207" s="61">
        <v>418569</v>
      </c>
      <c r="D207" s="60">
        <v>3.4025938852140576</v>
      </c>
    </row>
    <row r="208" spans="1:4" x14ac:dyDescent="0.25">
      <c r="A208" s="62">
        <v>45968</v>
      </c>
      <c r="B208" s="60">
        <v>-1.0185873605947955</v>
      </c>
      <c r="C208" s="61">
        <v>855609</v>
      </c>
      <c r="D208" s="60">
        <v>2.4491361707928241</v>
      </c>
    </row>
    <row r="209" spans="1:4" x14ac:dyDescent="0.25">
      <c r="A209" s="62">
        <v>45967</v>
      </c>
      <c r="B209" s="60">
        <v>2.3568773234200742</v>
      </c>
      <c r="C209" s="61">
        <v>721954</v>
      </c>
      <c r="D209" s="60">
        <v>4.0087384145854807</v>
      </c>
    </row>
    <row r="210" spans="1:4" x14ac:dyDescent="0.25">
      <c r="A210" s="62">
        <v>45966</v>
      </c>
      <c r="B210" s="63" t="s">
        <v>108</v>
      </c>
      <c r="C210" s="63" t="s">
        <v>108</v>
      </c>
      <c r="D210" s="60">
        <v>3.8170781749038305</v>
      </c>
    </row>
    <row r="211" spans="1:4" x14ac:dyDescent="0.25">
      <c r="A211" s="62">
        <v>45965</v>
      </c>
      <c r="B211" s="60">
        <v>1.1821561338289963</v>
      </c>
      <c r="C211" s="61">
        <v>801413</v>
      </c>
      <c r="D211" s="60">
        <v>3.764143364619724</v>
      </c>
    </row>
    <row r="212" spans="1:4" x14ac:dyDescent="0.25">
      <c r="A212" s="62">
        <v>45964</v>
      </c>
      <c r="B212" s="60">
        <v>1.1747211895910781</v>
      </c>
      <c r="C212" s="61">
        <v>499591</v>
      </c>
      <c r="D212" s="60">
        <v>5.6906213528389928</v>
      </c>
    </row>
    <row r="213" spans="1:4" x14ac:dyDescent="0.25">
      <c r="A213" s="62">
        <v>45961</v>
      </c>
      <c r="B213" s="60">
        <v>0.19330855018587362</v>
      </c>
      <c r="C213" s="61">
        <v>507645</v>
      </c>
      <c r="D213" s="60">
        <v>4.7230595859977074</v>
      </c>
    </row>
    <row r="214" spans="1:4" x14ac:dyDescent="0.25">
      <c r="A214" s="62">
        <v>45960</v>
      </c>
      <c r="B214" s="60">
        <v>-1.0408921933085502</v>
      </c>
      <c r="C214" s="61">
        <v>537064</v>
      </c>
      <c r="D214" s="60">
        <v>3.2300550636863257</v>
      </c>
    </row>
    <row r="215" spans="1:4" x14ac:dyDescent="0.25">
      <c r="A215" s="62">
        <v>45959</v>
      </c>
      <c r="B215" s="60">
        <v>-3.1672862453531598</v>
      </c>
      <c r="C215" s="61">
        <v>325673</v>
      </c>
      <c r="D215" s="60">
        <v>4.6005307954617471</v>
      </c>
    </row>
    <row r="216" spans="1:4" x14ac:dyDescent="0.25">
      <c r="A216" s="62">
        <v>45958</v>
      </c>
      <c r="B216" s="60">
        <v>-4.2602230483271377</v>
      </c>
      <c r="C216" s="61">
        <v>305957</v>
      </c>
      <c r="D216" s="60">
        <v>4.5804251638916416</v>
      </c>
    </row>
    <row r="217" spans="1:4" x14ac:dyDescent="0.25">
      <c r="A217" s="62">
        <v>45957</v>
      </c>
      <c r="B217" s="60">
        <v>-3.4944237918215615</v>
      </c>
      <c r="C217" s="61">
        <v>342190</v>
      </c>
      <c r="D217" s="60">
        <v>5.4086674199647025</v>
      </c>
    </row>
    <row r="218" spans="1:4" x14ac:dyDescent="0.25">
      <c r="A218" s="62">
        <v>45954</v>
      </c>
      <c r="B218" s="60">
        <v>-1.962825278810409</v>
      </c>
      <c r="C218" s="61">
        <v>250640</v>
      </c>
      <c r="D218" s="60">
        <v>4.6369885097994041</v>
      </c>
    </row>
    <row r="219" spans="1:4" x14ac:dyDescent="0.25">
      <c r="A219" s="62">
        <v>45953</v>
      </c>
      <c r="B219" s="60">
        <v>-2.3717472118959106</v>
      </c>
      <c r="C219" s="61">
        <v>286780</v>
      </c>
      <c r="D219" s="60">
        <v>4.5737442066777207</v>
      </c>
    </row>
    <row r="220" spans="1:4" x14ac:dyDescent="0.25">
      <c r="A220" s="62">
        <v>45952</v>
      </c>
      <c r="B220" s="63" t="s">
        <v>108</v>
      </c>
      <c r="C220" s="63" t="s">
        <v>108</v>
      </c>
      <c r="D220" s="60">
        <v>5.7311001737209208</v>
      </c>
    </row>
    <row r="221" spans="1:4" x14ac:dyDescent="0.25">
      <c r="A221" s="62">
        <v>45951</v>
      </c>
      <c r="B221" s="60">
        <v>-2.0520446096654275</v>
      </c>
      <c r="C221" s="61">
        <v>32977</v>
      </c>
      <c r="D221" s="60">
        <v>6.8454590553621966</v>
      </c>
    </row>
    <row r="222" spans="1:4" x14ac:dyDescent="0.25">
      <c r="A222" s="62">
        <v>45950</v>
      </c>
      <c r="B222" s="60">
        <v>-1.7992565055762082</v>
      </c>
      <c r="C222" s="61">
        <v>368513</v>
      </c>
      <c r="D222" s="60">
        <v>6.2399809873624905</v>
      </c>
    </row>
    <row r="223" spans="1:4" x14ac:dyDescent="0.25">
      <c r="A223" s="62">
        <v>45947</v>
      </c>
      <c r="B223" s="60">
        <v>-1.5390334572490707</v>
      </c>
      <c r="C223" s="61">
        <v>302575</v>
      </c>
      <c r="D223" s="60">
        <v>5.3496926825908488</v>
      </c>
    </row>
    <row r="224" spans="1:4" x14ac:dyDescent="0.25">
      <c r="A224" s="62">
        <v>45946</v>
      </c>
      <c r="B224" s="60">
        <v>-1.8513011152416357</v>
      </c>
      <c r="C224" s="61">
        <v>335444</v>
      </c>
      <c r="D224" s="60">
        <v>7.1847295751639102</v>
      </c>
    </row>
    <row r="225" spans="1:4" x14ac:dyDescent="0.25">
      <c r="A225" s="62">
        <v>45945</v>
      </c>
      <c r="B225" s="60">
        <v>-2.2602230483271377</v>
      </c>
      <c r="C225" s="61">
        <v>462127</v>
      </c>
      <c r="D225" s="60">
        <v>5.8327296322497508</v>
      </c>
    </row>
    <row r="226" spans="1:4" x14ac:dyDescent="0.25">
      <c r="A226" s="62">
        <v>45944</v>
      </c>
      <c r="B226" s="60">
        <v>-2.4386617100371746</v>
      </c>
      <c r="C226" s="61">
        <v>321275</v>
      </c>
      <c r="D226" s="60">
        <v>3.945030717438931</v>
      </c>
    </row>
    <row r="227" spans="1:4" x14ac:dyDescent="0.25">
      <c r="A227" s="62">
        <v>45943</v>
      </c>
      <c r="B227" s="60">
        <v>-2.513011152416357</v>
      </c>
      <c r="C227" s="61">
        <v>905107</v>
      </c>
      <c r="D227" s="60">
        <v>7.008621545230417</v>
      </c>
    </row>
    <row r="228" spans="1:4" x14ac:dyDescent="0.25">
      <c r="A228" s="62">
        <v>45940</v>
      </c>
      <c r="B228" s="60">
        <v>-3.7249070631970258</v>
      </c>
      <c r="C228" s="61">
        <v>1651908</v>
      </c>
      <c r="D228" s="60">
        <v>8.1991786586698581</v>
      </c>
    </row>
    <row r="229" spans="1:4" x14ac:dyDescent="0.25">
      <c r="A229" s="62">
        <v>45939</v>
      </c>
      <c r="B229" s="60">
        <v>-8.8178438661710032</v>
      </c>
      <c r="C229" s="61">
        <v>336390</v>
      </c>
      <c r="D229" s="60">
        <v>9.6486690014473364</v>
      </c>
    </row>
    <row r="230" spans="1:4" x14ac:dyDescent="0.25">
      <c r="A230" s="62">
        <v>45938</v>
      </c>
      <c r="B230" s="60">
        <v>-8.988847583643123</v>
      </c>
      <c r="C230" s="61">
        <v>874932</v>
      </c>
      <c r="D230" s="60">
        <v>12.333172178633308</v>
      </c>
    </row>
    <row r="231" spans="1:4" x14ac:dyDescent="0.25">
      <c r="A231" s="62">
        <v>45937</v>
      </c>
      <c r="B231" s="60">
        <v>-9.2267657992565049</v>
      </c>
      <c r="C231" s="61">
        <v>1024126</v>
      </c>
      <c r="D231" s="60">
        <v>11.951807650128849</v>
      </c>
    </row>
    <row r="232" spans="1:4" x14ac:dyDescent="0.25">
      <c r="A232" s="62">
        <v>45936</v>
      </c>
      <c r="B232" s="60">
        <v>-13.360594795539033</v>
      </c>
      <c r="C232" s="61">
        <v>196219</v>
      </c>
      <c r="D232" s="60">
        <v>12.006546418911595</v>
      </c>
    </row>
    <row r="233" spans="1:4" x14ac:dyDescent="0.25">
      <c r="A233" s="62">
        <v>45933</v>
      </c>
      <c r="B233" s="60">
        <v>-12.773234200743495</v>
      </c>
      <c r="C233" s="61">
        <v>655087</v>
      </c>
      <c r="D233" s="60">
        <v>11.953354076766454</v>
      </c>
    </row>
    <row r="234" spans="1:4" x14ac:dyDescent="0.25">
      <c r="A234" s="62">
        <v>45932</v>
      </c>
      <c r="B234" s="63" t="s">
        <v>108</v>
      </c>
      <c r="C234" s="63" t="s">
        <v>108</v>
      </c>
      <c r="D234" s="60">
        <v>12.38168480864009</v>
      </c>
    </row>
    <row r="235" spans="1:4" x14ac:dyDescent="0.25">
      <c r="A235" s="62">
        <v>45931</v>
      </c>
      <c r="B235" s="60">
        <v>-15.092936802973977</v>
      </c>
      <c r="C235" s="61">
        <v>721666</v>
      </c>
      <c r="D235" s="60">
        <v>11.03580115622926</v>
      </c>
    </row>
    <row r="236" spans="1:4" x14ac:dyDescent="0.25">
      <c r="A236" s="62">
        <v>45930</v>
      </c>
      <c r="B236" s="60">
        <v>-15.397769516728625</v>
      </c>
      <c r="C236" s="61">
        <v>281179</v>
      </c>
      <c r="D236" s="60">
        <v>10.333917855205987</v>
      </c>
    </row>
    <row r="237" spans="1:4" x14ac:dyDescent="0.25">
      <c r="A237" s="62">
        <v>45929</v>
      </c>
      <c r="B237" s="60">
        <v>-15.278810408921933</v>
      </c>
      <c r="C237" s="61">
        <v>467714</v>
      </c>
      <c r="D237" s="60">
        <v>8.3434465808604266</v>
      </c>
    </row>
    <row r="238" spans="1:4" x14ac:dyDescent="0.25">
      <c r="A238" s="62">
        <v>45926</v>
      </c>
      <c r="B238" s="60">
        <v>-15.397769516728625</v>
      </c>
      <c r="C238" s="61">
        <v>672699</v>
      </c>
      <c r="D238" s="60">
        <v>7.3916480183666247</v>
      </c>
    </row>
    <row r="239" spans="1:4" x14ac:dyDescent="0.25">
      <c r="A239" s="62">
        <v>45925</v>
      </c>
      <c r="B239" s="60">
        <v>-12.312267657992566</v>
      </c>
      <c r="C239" s="61">
        <v>210498</v>
      </c>
      <c r="D239" s="60">
        <v>9.7306119794112664</v>
      </c>
    </row>
    <row r="240" spans="1:4" x14ac:dyDescent="0.25">
      <c r="A240" s="62">
        <v>45924</v>
      </c>
      <c r="B240" s="60">
        <v>-11.018587360594795</v>
      </c>
      <c r="C240" s="61">
        <v>253046</v>
      </c>
      <c r="D240" s="60">
        <v>9.8058288069305579</v>
      </c>
    </row>
    <row r="241" spans="1:4" x14ac:dyDescent="0.25">
      <c r="A241" s="62">
        <v>45923</v>
      </c>
      <c r="B241" s="60">
        <v>-10.022304832713754</v>
      </c>
      <c r="C241" s="61">
        <v>264356</v>
      </c>
      <c r="D241" s="60">
        <v>10.103382298234328</v>
      </c>
    </row>
    <row r="242" spans="1:4" x14ac:dyDescent="0.25">
      <c r="A242" s="62">
        <v>45922</v>
      </c>
      <c r="B242" s="60">
        <v>-9.4052044609665426</v>
      </c>
      <c r="C242" s="61">
        <v>290634</v>
      </c>
      <c r="D242" s="60">
        <v>11.427441850674708</v>
      </c>
    </row>
    <row r="243" spans="1:4" x14ac:dyDescent="0.25">
      <c r="A243" s="62">
        <v>45919</v>
      </c>
      <c r="B243" s="60">
        <v>-7.8066914498141262</v>
      </c>
      <c r="C243" s="61">
        <v>734989</v>
      </c>
      <c r="D243" s="60">
        <v>11.092623103389716</v>
      </c>
    </row>
    <row r="244" spans="1:4" x14ac:dyDescent="0.25">
      <c r="A244" s="62">
        <v>45918</v>
      </c>
      <c r="B244" s="60">
        <v>-9.1152416356877328</v>
      </c>
      <c r="C244" s="61">
        <v>480382</v>
      </c>
      <c r="D244" s="60">
        <v>12.231506094116742</v>
      </c>
    </row>
    <row r="245" spans="1:4" x14ac:dyDescent="0.25">
      <c r="A245" s="62">
        <v>45917</v>
      </c>
      <c r="B245" s="60">
        <v>-10.014869888475836</v>
      </c>
      <c r="C245" s="61">
        <v>413995</v>
      </c>
      <c r="D245" s="60">
        <v>11.683970846980795</v>
      </c>
    </row>
    <row r="246" spans="1:4" x14ac:dyDescent="0.25">
      <c r="A246" s="62">
        <v>45916</v>
      </c>
      <c r="B246" s="60">
        <v>-9.3011152416356886</v>
      </c>
      <c r="C246" s="61">
        <v>285215</v>
      </c>
      <c r="D246" s="60">
        <v>11.793241298125723</v>
      </c>
    </row>
    <row r="247" spans="1:4" x14ac:dyDescent="0.25">
      <c r="A247" s="62">
        <v>45915</v>
      </c>
      <c r="B247" s="60">
        <v>-9.9330855018587361</v>
      </c>
      <c r="C247" s="61">
        <v>152355</v>
      </c>
      <c r="D247" s="60">
        <v>12.10212458762201</v>
      </c>
    </row>
    <row r="248" spans="1:4" x14ac:dyDescent="0.25">
      <c r="A248" s="62">
        <v>45912</v>
      </c>
      <c r="B248" s="60">
        <v>-10.386617100371748</v>
      </c>
      <c r="C248" s="61">
        <v>487571</v>
      </c>
      <c r="D248" s="60">
        <v>12.108596632437157</v>
      </c>
    </row>
    <row r="249" spans="1:4" x14ac:dyDescent="0.25">
      <c r="A249" s="62">
        <v>45911</v>
      </c>
      <c r="B249" s="60">
        <v>-10.550185873605948</v>
      </c>
      <c r="C249" s="61">
        <v>258301</v>
      </c>
      <c r="D249" s="60">
        <v>10.649340053687871</v>
      </c>
    </row>
    <row r="250" spans="1:4" x14ac:dyDescent="0.25">
      <c r="A250" s="62">
        <v>45910</v>
      </c>
      <c r="B250" s="60">
        <v>-10.312267657992566</v>
      </c>
      <c r="C250" s="61">
        <v>810989</v>
      </c>
      <c r="D250" s="60">
        <v>12.957493433604451</v>
      </c>
    </row>
    <row r="251" spans="1:4" x14ac:dyDescent="0.25">
      <c r="A251" s="62">
        <v>45909</v>
      </c>
      <c r="B251" s="60">
        <v>-10.743494423791821</v>
      </c>
      <c r="C251" s="61">
        <v>254569</v>
      </c>
      <c r="D251" s="60">
        <v>13.998907172355736</v>
      </c>
    </row>
    <row r="252" spans="1:4" x14ac:dyDescent="0.25">
      <c r="A252" s="62">
        <v>45908</v>
      </c>
      <c r="B252" s="60">
        <v>-10.371747211895912</v>
      </c>
      <c r="C252" s="61">
        <v>519368</v>
      </c>
      <c r="D252" s="60">
        <v>14.298651777522934</v>
      </c>
    </row>
    <row r="253" spans="1:4" x14ac:dyDescent="0.25">
      <c r="A253" s="62">
        <v>45905</v>
      </c>
      <c r="B253" s="60">
        <v>-10.646840148698885</v>
      </c>
      <c r="C253" s="61">
        <v>213926</v>
      </c>
      <c r="D253" s="60">
        <v>13.563483451789713</v>
      </c>
    </row>
    <row r="254" spans="1:4" x14ac:dyDescent="0.25">
      <c r="A254" s="62">
        <v>45904</v>
      </c>
      <c r="B254" s="60">
        <v>-8.7955390334572492</v>
      </c>
      <c r="C254" s="61">
        <v>294429</v>
      </c>
      <c r="D254" s="60">
        <v>10.416579023666836</v>
      </c>
    </row>
    <row r="255" spans="1:4" x14ac:dyDescent="0.25">
      <c r="A255" s="62">
        <v>45903</v>
      </c>
      <c r="B255" s="60">
        <v>-8.3420074349442377</v>
      </c>
      <c r="C255" s="61">
        <v>281110</v>
      </c>
      <c r="D255" s="60">
        <v>13.340530891206669</v>
      </c>
    </row>
    <row r="256" spans="1:4" x14ac:dyDescent="0.25">
      <c r="A256" s="62">
        <v>45902</v>
      </c>
      <c r="B256" s="60">
        <v>-8.988847583643123</v>
      </c>
      <c r="C256" s="61">
        <v>307162</v>
      </c>
      <c r="D256" s="60">
        <v>11.571041779964292</v>
      </c>
    </row>
    <row r="257" spans="1:4" x14ac:dyDescent="0.25">
      <c r="A257" s="62">
        <v>45901</v>
      </c>
      <c r="B257" s="60">
        <v>-9.3977695167286246</v>
      </c>
      <c r="C257" s="61">
        <v>192062</v>
      </c>
      <c r="D257" s="60">
        <v>11.422745837461505</v>
      </c>
    </row>
    <row r="258" spans="1:4" x14ac:dyDescent="0.25">
      <c r="A258" s="62">
        <v>45898</v>
      </c>
      <c r="B258" s="60">
        <v>-8.8252788104089213</v>
      </c>
      <c r="C258" s="61">
        <v>283850</v>
      </c>
      <c r="D258" s="60">
        <v>8.3532176189540568</v>
      </c>
    </row>
    <row r="259" spans="1:4" x14ac:dyDescent="0.25">
      <c r="A259" s="62">
        <v>45897</v>
      </c>
      <c r="B259" s="60">
        <v>-8.8178438661710032</v>
      </c>
      <c r="C259" s="61">
        <v>415482</v>
      </c>
      <c r="D259" s="60">
        <v>6.2375221303154174</v>
      </c>
    </row>
    <row r="260" spans="1:4" x14ac:dyDescent="0.25">
      <c r="A260" s="62">
        <v>45896</v>
      </c>
      <c r="B260" s="63" t="s">
        <v>108</v>
      </c>
      <c r="C260" s="63" t="s">
        <v>108</v>
      </c>
      <c r="D260" s="60">
        <v>7.4312435501336216</v>
      </c>
    </row>
    <row r="261" spans="1:4" x14ac:dyDescent="0.25">
      <c r="A261" s="62">
        <v>45895</v>
      </c>
      <c r="B261" s="60">
        <v>-7.9479553903345721</v>
      </c>
      <c r="C261" s="61">
        <v>546739</v>
      </c>
      <c r="D261" s="60">
        <v>9.9763531576709354</v>
      </c>
    </row>
    <row r="262" spans="1:4" x14ac:dyDescent="0.25">
      <c r="A262" s="62">
        <v>45894</v>
      </c>
      <c r="B262" s="60">
        <v>-7.0855018587360599</v>
      </c>
      <c r="C262" s="61">
        <v>439686</v>
      </c>
      <c r="D262" s="60">
        <v>11.502506749924173</v>
      </c>
    </row>
    <row r="263" spans="1:4" x14ac:dyDescent="0.25">
      <c r="A263" s="62">
        <v>45891</v>
      </c>
      <c r="B263" s="60">
        <v>-8.5278810408921935</v>
      </c>
      <c r="C263" s="61">
        <v>681524</v>
      </c>
      <c r="D263" s="60">
        <v>10.737834591688605</v>
      </c>
    </row>
    <row r="264" spans="1:4" x14ac:dyDescent="0.25">
      <c r="A264" s="62">
        <v>45890</v>
      </c>
      <c r="B264" s="60">
        <v>-10.364312267657992</v>
      </c>
      <c r="C264" s="61">
        <v>219909</v>
      </c>
      <c r="D264" s="60">
        <v>9.8198397822083603</v>
      </c>
    </row>
    <row r="265" spans="1:4" x14ac:dyDescent="0.25">
      <c r="A265" s="62">
        <v>45889</v>
      </c>
      <c r="B265" s="60">
        <v>-10.706319702602231</v>
      </c>
      <c r="C265" s="61">
        <v>544008</v>
      </c>
      <c r="D265" s="60">
        <v>8.1644577020884395</v>
      </c>
    </row>
    <row r="266" spans="1:4" x14ac:dyDescent="0.25">
      <c r="A266" s="62">
        <v>45888</v>
      </c>
      <c r="B266" s="60">
        <v>-9.5985130111524164</v>
      </c>
      <c r="C266" s="61">
        <v>246497</v>
      </c>
      <c r="D266" s="60">
        <v>9.7151391367853996</v>
      </c>
    </row>
    <row r="267" spans="1:4" x14ac:dyDescent="0.25">
      <c r="A267" s="62">
        <v>45887</v>
      </c>
      <c r="B267" s="60">
        <v>-8.3345724907063197</v>
      </c>
      <c r="C267" s="61">
        <v>362833</v>
      </c>
      <c r="D267" s="60">
        <v>10.386182109227123</v>
      </c>
    </row>
    <row r="268" spans="1:4" x14ac:dyDescent="0.25">
      <c r="A268" s="62">
        <v>45884</v>
      </c>
      <c r="B268" s="63" t="s">
        <v>108</v>
      </c>
      <c r="C268" s="63" t="s">
        <v>108</v>
      </c>
      <c r="D268" s="60">
        <v>9.3086818950936703</v>
      </c>
    </row>
    <row r="269" spans="1:4" x14ac:dyDescent="0.25">
      <c r="A269" s="62">
        <v>45883</v>
      </c>
      <c r="B269" s="60">
        <v>-8.8104089219330852</v>
      </c>
      <c r="C269" s="61">
        <v>407062</v>
      </c>
      <c r="D269" s="60">
        <v>8.0561650313581303</v>
      </c>
    </row>
    <row r="270" spans="1:4" x14ac:dyDescent="0.25">
      <c r="A270" s="62">
        <v>45882</v>
      </c>
      <c r="B270" s="60">
        <v>-9.2862453531598508</v>
      </c>
      <c r="C270" s="61">
        <v>394932</v>
      </c>
      <c r="D270" s="60">
        <v>7.4876287697336279</v>
      </c>
    </row>
    <row r="271" spans="1:4" x14ac:dyDescent="0.25">
      <c r="A271" s="62">
        <v>45881</v>
      </c>
      <c r="B271" s="60">
        <v>-11.360594795539033</v>
      </c>
      <c r="C271" s="61">
        <v>477759</v>
      </c>
      <c r="D271" s="60">
        <v>4.4315883421065259</v>
      </c>
    </row>
    <row r="272" spans="1:4" x14ac:dyDescent="0.25">
      <c r="A272" s="62">
        <v>45880</v>
      </c>
      <c r="B272" s="60">
        <v>-10.899628252788103</v>
      </c>
      <c r="C272" s="61">
        <v>677693</v>
      </c>
      <c r="D272" s="60">
        <v>4.9139387120158116</v>
      </c>
    </row>
    <row r="273" spans="1:4" x14ac:dyDescent="0.25">
      <c r="A273" s="62">
        <v>45877</v>
      </c>
      <c r="B273" s="60">
        <v>-12.052044609665428</v>
      </c>
      <c r="C273" s="61">
        <v>541367</v>
      </c>
      <c r="D273" s="60">
        <v>4.1939212072111989</v>
      </c>
    </row>
    <row r="274" spans="1:4" x14ac:dyDescent="0.25">
      <c r="A274" s="62">
        <v>45876</v>
      </c>
      <c r="B274" s="60">
        <v>-8.8252788104089213</v>
      </c>
      <c r="C274" s="61">
        <v>1004420</v>
      </c>
      <c r="D274" s="60">
        <v>4.945266495265785</v>
      </c>
    </row>
    <row r="275" spans="1:4" x14ac:dyDescent="0.25">
      <c r="A275" s="62">
        <v>45875</v>
      </c>
      <c r="B275" s="60">
        <v>-8.7955390334572492</v>
      </c>
      <c r="C275" s="61">
        <v>984259</v>
      </c>
      <c r="D275" s="60">
        <v>6.4274398360127494</v>
      </c>
    </row>
    <row r="276" spans="1:4" x14ac:dyDescent="0.25">
      <c r="A276" s="62">
        <v>45874</v>
      </c>
      <c r="B276" s="60">
        <v>-4.6988847583643123</v>
      </c>
      <c r="C276" s="61">
        <v>377699</v>
      </c>
      <c r="D276" s="60">
        <v>7.3175380943717601</v>
      </c>
    </row>
    <row r="277" spans="1:4" x14ac:dyDescent="0.25">
      <c r="A277" s="62">
        <v>45873</v>
      </c>
      <c r="B277" s="60">
        <v>-3.5018587360594795</v>
      </c>
      <c r="C277" s="61">
        <v>351237</v>
      </c>
      <c r="D277" s="60">
        <v>5.5578658264419136</v>
      </c>
    </row>
    <row r="278" spans="1:4" x14ac:dyDescent="0.25">
      <c r="A278" s="62">
        <v>45870</v>
      </c>
      <c r="B278" s="60">
        <v>-5.4052044609665426</v>
      </c>
      <c r="C278" s="61">
        <v>467222</v>
      </c>
      <c r="D278" s="60">
        <v>5.0751831415539534</v>
      </c>
    </row>
    <row r="279" spans="1:4" x14ac:dyDescent="0.25">
      <c r="A279" s="62">
        <v>45869</v>
      </c>
      <c r="B279" s="60">
        <v>-1.9256505576208178</v>
      </c>
      <c r="C279" s="61">
        <v>208301</v>
      </c>
      <c r="D279" s="60">
        <v>7.5206402580513609</v>
      </c>
    </row>
    <row r="280" spans="1:4" x14ac:dyDescent="0.25">
      <c r="A280" s="62">
        <v>45868</v>
      </c>
      <c r="B280" s="60">
        <v>-1.1152416356877324</v>
      </c>
      <c r="C280" s="61">
        <v>226974</v>
      </c>
      <c r="D280" s="60">
        <v>9.0733247968813533</v>
      </c>
    </row>
    <row r="281" spans="1:4" x14ac:dyDescent="0.25">
      <c r="A281" s="62">
        <v>45867</v>
      </c>
      <c r="B281" s="60">
        <v>-0.72118959107806691</v>
      </c>
      <c r="C281" s="61">
        <v>207710</v>
      </c>
      <c r="D281" s="60">
        <v>10.288088915929748</v>
      </c>
    </row>
    <row r="282" spans="1:4" x14ac:dyDescent="0.25">
      <c r="A282" s="62">
        <v>45866</v>
      </c>
      <c r="B282" s="60">
        <v>-2.0966542750929369</v>
      </c>
      <c r="C282" s="61">
        <v>155158</v>
      </c>
      <c r="D282" s="60">
        <v>7.8264048936796566</v>
      </c>
    </row>
    <row r="283" spans="1:4" x14ac:dyDescent="0.25">
      <c r="A283" s="62">
        <v>45863</v>
      </c>
      <c r="B283" s="60">
        <v>-1.6133828996282529</v>
      </c>
      <c r="C283" s="61">
        <v>179064</v>
      </c>
      <c r="D283" s="60">
        <v>6.1189479282274073</v>
      </c>
    </row>
    <row r="284" spans="1:4" x14ac:dyDescent="0.25">
      <c r="A284" s="62">
        <v>45862</v>
      </c>
      <c r="B284" s="60">
        <v>-1.5836431226765799</v>
      </c>
      <c r="C284" s="61">
        <v>183852</v>
      </c>
      <c r="D284" s="60">
        <v>6.3454460499403815</v>
      </c>
    </row>
    <row r="285" spans="1:4" x14ac:dyDescent="0.25">
      <c r="A285" s="62">
        <v>45861</v>
      </c>
      <c r="B285" s="60">
        <v>-1.0706319702602229</v>
      </c>
      <c r="C285" s="61">
        <v>206835</v>
      </c>
      <c r="D285" s="60">
        <v>5.0014084091943705</v>
      </c>
    </row>
    <row r="286" spans="1:4" x14ac:dyDescent="0.25">
      <c r="A286" s="62">
        <v>45860</v>
      </c>
      <c r="B286" s="60">
        <v>-1.6654275092936803</v>
      </c>
      <c r="C286" s="61">
        <v>272172</v>
      </c>
      <c r="D286" s="60">
        <v>4.5961589715042024</v>
      </c>
    </row>
    <row r="287" spans="1:4" x14ac:dyDescent="0.25">
      <c r="A287" s="62">
        <v>45859</v>
      </c>
      <c r="B287" s="60">
        <v>-0.55018587360594795</v>
      </c>
      <c r="C287" s="61">
        <v>152442</v>
      </c>
      <c r="D287" s="60">
        <v>5.2127186407024686</v>
      </c>
    </row>
    <row r="288" spans="1:4" x14ac:dyDescent="0.25">
      <c r="A288" s="62">
        <v>45856</v>
      </c>
      <c r="B288" s="60">
        <v>9.6654275092936809E-2</v>
      </c>
      <c r="C288" s="61">
        <v>196816</v>
      </c>
      <c r="D288" s="60">
        <v>5.8299834197200022</v>
      </c>
    </row>
    <row r="289" spans="1:4" x14ac:dyDescent="0.25">
      <c r="A289" s="62">
        <v>45855</v>
      </c>
      <c r="B289" s="60">
        <v>0.97397769516728627</v>
      </c>
      <c r="C289" s="61">
        <v>291956</v>
      </c>
      <c r="D289" s="60">
        <v>5.5429894514561022</v>
      </c>
    </row>
    <row r="290" spans="1:4" x14ac:dyDescent="0.25">
      <c r="A290" s="62">
        <v>45854</v>
      </c>
      <c r="B290" s="60">
        <v>1.5762081784386617</v>
      </c>
      <c r="C290" s="61">
        <v>327289</v>
      </c>
      <c r="D290" s="60">
        <v>2.5886111259032401</v>
      </c>
    </row>
    <row r="291" spans="1:4" x14ac:dyDescent="0.25">
      <c r="A291" s="62">
        <v>45853</v>
      </c>
      <c r="B291" s="60">
        <v>0.96654275092936803</v>
      </c>
      <c r="C291" s="61">
        <v>132235</v>
      </c>
      <c r="D291" s="60">
        <v>2.2551911680211045</v>
      </c>
    </row>
    <row r="292" spans="1:4" x14ac:dyDescent="0.25">
      <c r="A292" s="62">
        <v>45852</v>
      </c>
      <c r="B292" s="60">
        <v>0.79553903345724908</v>
      </c>
      <c r="C292" s="61">
        <v>968781</v>
      </c>
      <c r="D292" s="60">
        <v>0.32376986456973617</v>
      </c>
    </row>
    <row r="293" spans="1:4" x14ac:dyDescent="0.25">
      <c r="A293" s="62">
        <v>45849</v>
      </c>
      <c r="B293" s="60">
        <v>1.6356877323420074</v>
      </c>
      <c r="C293" s="61">
        <v>224031</v>
      </c>
      <c r="D293" s="60">
        <v>-0.71027014095558005</v>
      </c>
    </row>
    <row r="294" spans="1:4" x14ac:dyDescent="0.25">
      <c r="A294" s="62">
        <v>45848</v>
      </c>
      <c r="B294" s="60">
        <v>1.7769516728624535</v>
      </c>
      <c r="C294" s="61">
        <v>183664</v>
      </c>
      <c r="D294" s="60">
        <v>-1.7296080944928141</v>
      </c>
    </row>
    <row r="295" spans="1:4" x14ac:dyDescent="0.25">
      <c r="A295" s="62">
        <v>45847</v>
      </c>
      <c r="B295" s="60">
        <v>3.8438661710037176</v>
      </c>
      <c r="C295" s="61">
        <v>382020</v>
      </c>
      <c r="D295" s="60">
        <v>-1.5517121506788079</v>
      </c>
    </row>
    <row r="296" spans="1:4" x14ac:dyDescent="0.25">
      <c r="A296" s="62">
        <v>45846</v>
      </c>
      <c r="B296" s="60">
        <v>3.1672862453531598</v>
      </c>
      <c r="C296" s="61">
        <v>531444</v>
      </c>
      <c r="D296" s="60">
        <v>-2.3896546156672267</v>
      </c>
    </row>
    <row r="297" spans="1:4" x14ac:dyDescent="0.25">
      <c r="A297" s="62">
        <v>45845</v>
      </c>
      <c r="B297" s="60">
        <v>2.4312267657992566</v>
      </c>
      <c r="C297" s="61">
        <v>85574</v>
      </c>
      <c r="D297" s="60">
        <v>-1.9318343635333792</v>
      </c>
    </row>
    <row r="298" spans="1:4" x14ac:dyDescent="0.25">
      <c r="A298" s="62">
        <v>45842</v>
      </c>
      <c r="B298" s="60">
        <v>2.6988847583643123</v>
      </c>
      <c r="C298" s="61">
        <v>243498</v>
      </c>
      <c r="D298" s="60">
        <v>-0.24712301901296047</v>
      </c>
    </row>
    <row r="299" spans="1:4" x14ac:dyDescent="0.25">
      <c r="A299" s="62">
        <v>45841</v>
      </c>
      <c r="B299" s="60">
        <v>2.2453531598513012</v>
      </c>
      <c r="C299" s="61">
        <v>302964</v>
      </c>
      <c r="D299" s="60">
        <v>-1.0268904753385004</v>
      </c>
    </row>
    <row r="300" spans="1:4" x14ac:dyDescent="0.25">
      <c r="A300" s="62">
        <v>45840</v>
      </c>
      <c r="B300" s="60">
        <v>2</v>
      </c>
      <c r="C300" s="61">
        <v>437491</v>
      </c>
      <c r="D300" s="60">
        <v>-2.87833353410316</v>
      </c>
    </row>
    <row r="301" spans="1:4" x14ac:dyDescent="0.25">
      <c r="A301" s="62">
        <v>45839</v>
      </c>
      <c r="B301" s="60">
        <v>1.9553903345724908</v>
      </c>
      <c r="C301" s="61">
        <v>385716</v>
      </c>
      <c r="D301" s="60">
        <v>-3.2275201272900746</v>
      </c>
    </row>
    <row r="302" spans="1:4" x14ac:dyDescent="0.25">
      <c r="A302" s="62">
        <v>45838</v>
      </c>
      <c r="B302" s="60">
        <v>1.2565055762081785</v>
      </c>
      <c r="C302" s="61">
        <v>599664</v>
      </c>
      <c r="D302" s="60">
        <v>-3.313321962496516</v>
      </c>
    </row>
    <row r="303" spans="1:4" x14ac:dyDescent="0.25">
      <c r="A303" s="62">
        <v>45835</v>
      </c>
      <c r="B303" s="60">
        <v>-0.99628252788104088</v>
      </c>
      <c r="C303" s="61">
        <v>545217</v>
      </c>
      <c r="D303" s="60">
        <v>-3.7917610100873835</v>
      </c>
    </row>
    <row r="304" spans="1:4" x14ac:dyDescent="0.25">
      <c r="A304" s="62">
        <v>45834</v>
      </c>
      <c r="B304" s="60">
        <v>-1.6208178438661709</v>
      </c>
      <c r="C304" s="61">
        <v>404238</v>
      </c>
      <c r="D304" s="60">
        <v>-3.6045226740759229</v>
      </c>
    </row>
    <row r="305" spans="1:6" x14ac:dyDescent="0.25">
      <c r="A305" s="62">
        <v>45833</v>
      </c>
      <c r="B305" s="60">
        <v>-2.0594795539033459</v>
      </c>
      <c r="C305" s="61">
        <v>234226</v>
      </c>
      <c r="D305" s="60">
        <v>-2.9221401284991555</v>
      </c>
    </row>
    <row r="306" spans="1:6" x14ac:dyDescent="0.25">
      <c r="A306" s="62">
        <v>45832</v>
      </c>
      <c r="B306" s="60">
        <v>-2.3717472118959106</v>
      </c>
      <c r="C306" s="61">
        <v>270144</v>
      </c>
      <c r="D306" s="60">
        <v>-3.2091604216651652</v>
      </c>
    </row>
    <row r="307" spans="1:6" x14ac:dyDescent="0.25">
      <c r="A307" s="62">
        <v>45831</v>
      </c>
      <c r="B307" s="60">
        <v>-1.3234200743494424</v>
      </c>
      <c r="C307" s="61">
        <v>478962</v>
      </c>
      <c r="D307" s="60">
        <v>-5.1814803214958092</v>
      </c>
    </row>
    <row r="308" spans="1:6" x14ac:dyDescent="0.25">
      <c r="A308" s="62">
        <v>45828</v>
      </c>
      <c r="B308" s="60">
        <v>-1.9776951672862453</v>
      </c>
      <c r="C308" s="61">
        <v>560932</v>
      </c>
      <c r="D308" s="60">
        <v>-6.0320424014821681</v>
      </c>
    </row>
    <row r="309" spans="1:6" x14ac:dyDescent="0.25">
      <c r="A309" s="62">
        <v>45827</v>
      </c>
      <c r="B309" s="60">
        <v>-3.449814126394052</v>
      </c>
      <c r="C309" s="61">
        <v>240502</v>
      </c>
      <c r="D309" s="60">
        <v>-6.4863394863996664</v>
      </c>
    </row>
    <row r="310" spans="1:6" x14ac:dyDescent="0.25">
      <c r="A310" s="62">
        <v>45826</v>
      </c>
      <c r="B310" s="60">
        <v>-2.6171003717472119</v>
      </c>
      <c r="C310" s="61">
        <v>447218</v>
      </c>
      <c r="D310" s="60">
        <v>-4.6011165574815402</v>
      </c>
    </row>
    <row r="311" spans="1:6" x14ac:dyDescent="0.25">
      <c r="A311" s="62">
        <v>45825</v>
      </c>
      <c r="B311" s="60">
        <v>-2.7806691449814127</v>
      </c>
      <c r="C311" s="61">
        <v>341004</v>
      </c>
      <c r="D311" s="60">
        <v>-4.4668460398371375</v>
      </c>
    </row>
    <row r="312" spans="1:6" x14ac:dyDescent="0.25">
      <c r="A312" s="62">
        <v>45824</v>
      </c>
      <c r="B312" s="60">
        <v>-0.55762081784386619</v>
      </c>
      <c r="C312" s="61">
        <v>166374</v>
      </c>
      <c r="D312" s="60">
        <v>-1.7006720240159834</v>
      </c>
    </row>
    <row r="313" spans="1:6" x14ac:dyDescent="0.25">
      <c r="A313" s="62">
        <v>45821</v>
      </c>
      <c r="B313" s="60">
        <v>-0.86245353159851301</v>
      </c>
      <c r="C313" s="61">
        <v>431430</v>
      </c>
      <c r="D313" s="60">
        <v>-1.2406757370600665</v>
      </c>
    </row>
    <row r="314" spans="1:6" x14ac:dyDescent="0.2">
      <c r="A314" s="88"/>
      <c r="B314" s="88"/>
      <c r="C314" s="88"/>
      <c r="D314" s="88"/>
      <c r="E314" s="88"/>
      <c r="F314" s="88"/>
    </row>
  </sheetData>
  <mergeCells count="42">
    <mergeCell ref="A314:F314"/>
    <mergeCell ref="A41:F41"/>
    <mergeCell ref="A42:F42"/>
    <mergeCell ref="A43:F43"/>
    <mergeCell ref="A44:F44"/>
    <mergeCell ref="A49:F49"/>
    <mergeCell ref="A50:F50"/>
    <mergeCell ref="A36:F36"/>
    <mergeCell ref="A37:F37"/>
    <mergeCell ref="A38:F38"/>
    <mergeCell ref="A39:F39"/>
    <mergeCell ref="A40:F40"/>
    <mergeCell ref="A35:F35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23:F2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11:F11"/>
    <mergeCell ref="A1:D1"/>
    <mergeCell ref="A3:F3"/>
    <mergeCell ref="A4:F4"/>
    <mergeCell ref="A5:F5"/>
    <mergeCell ref="A10:F10"/>
  </mergeCells>
  <pageMargins left="0.7" right="0.7" top="0.75" bottom="0.75" header="0.3" footer="0.3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D649-A29D-44FA-A20E-EF0267D79D70}">
  <dimension ref="A1:L314"/>
  <sheetViews>
    <sheetView topLeftCell="A2" workbookViewId="0">
      <selection activeCell="A2" sqref="A2"/>
    </sheetView>
  </sheetViews>
  <sheetFormatPr defaultColWidth="9.140625" defaultRowHeight="15" x14ac:dyDescent="0.25"/>
  <cols>
    <col min="1" max="1" width="48.5703125" style="58" customWidth="1"/>
    <col min="2" max="2" width="32.5703125" style="58" customWidth="1"/>
    <col min="3" max="3" width="25.42578125" style="58" customWidth="1"/>
    <col min="4" max="4" width="48.5703125" style="58" customWidth="1"/>
    <col min="5" max="5" width="16.28515625" style="58" customWidth="1"/>
    <col min="6" max="6" width="23.42578125" style="58" customWidth="1"/>
  </cols>
  <sheetData>
    <row r="1" spans="1:12" ht="39.950000000000003" customHeight="1" x14ac:dyDescent="0.25">
      <c r="A1" s="89"/>
      <c r="B1" s="89"/>
      <c r="C1" s="89"/>
      <c r="D1" s="89"/>
    </row>
    <row r="2" spans="1:12" ht="30" customHeight="1" x14ac:dyDescent="0.3">
      <c r="A2" s="66" t="s">
        <v>208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x14ac:dyDescent="0.2">
      <c r="A3" s="88"/>
      <c r="B3" s="88"/>
      <c r="C3" s="88"/>
      <c r="D3" s="88"/>
      <c r="E3" s="88"/>
      <c r="F3" s="88"/>
    </row>
    <row r="4" spans="1:12" x14ac:dyDescent="0.2">
      <c r="A4" s="88" t="s">
        <v>207</v>
      </c>
      <c r="B4" s="88"/>
      <c r="C4" s="88"/>
      <c r="D4" s="88"/>
      <c r="E4" s="88"/>
      <c r="F4" s="88"/>
    </row>
    <row r="5" spans="1:12" x14ac:dyDescent="0.2">
      <c r="A5" s="88"/>
      <c r="B5" s="88"/>
      <c r="C5" s="88"/>
      <c r="D5" s="88"/>
      <c r="E5" s="88"/>
      <c r="F5" s="88"/>
    </row>
    <row r="6" spans="1:12" x14ac:dyDescent="0.25">
      <c r="A6" s="59"/>
    </row>
    <row r="7" spans="1:12" x14ac:dyDescent="0.25">
      <c r="A7" s="59" t="s">
        <v>206</v>
      </c>
    </row>
    <row r="8" spans="1:12" x14ac:dyDescent="0.25">
      <c r="A8" s="59" t="s">
        <v>134</v>
      </c>
    </row>
    <row r="9" spans="1:12" x14ac:dyDescent="0.25">
      <c r="A9" s="59"/>
    </row>
    <row r="10" spans="1:12" x14ac:dyDescent="0.2">
      <c r="A10" s="88"/>
      <c r="B10" s="88"/>
      <c r="C10" s="88"/>
      <c r="D10" s="88"/>
      <c r="E10" s="88"/>
      <c r="F10" s="88"/>
    </row>
    <row r="11" spans="1:12" x14ac:dyDescent="0.2">
      <c r="A11" s="88"/>
      <c r="B11" s="88"/>
      <c r="C11" s="88"/>
      <c r="D11" s="88"/>
      <c r="E11" s="88"/>
      <c r="F11" s="88"/>
    </row>
    <row r="12" spans="1:12" x14ac:dyDescent="0.2">
      <c r="A12" s="88"/>
      <c r="B12" s="88"/>
      <c r="C12" s="88"/>
      <c r="D12" s="88"/>
      <c r="E12" s="88"/>
      <c r="F12" s="88"/>
    </row>
    <row r="13" spans="1:12" x14ac:dyDescent="0.2">
      <c r="A13" s="88"/>
      <c r="B13" s="88"/>
      <c r="C13" s="88"/>
      <c r="D13" s="88"/>
      <c r="E13" s="88"/>
      <c r="F13" s="88"/>
    </row>
    <row r="14" spans="1:12" x14ac:dyDescent="0.2">
      <c r="A14" s="88"/>
      <c r="B14" s="88"/>
      <c r="C14" s="88"/>
      <c r="D14" s="88"/>
      <c r="E14" s="88"/>
      <c r="F14" s="88"/>
    </row>
    <row r="15" spans="1:12" x14ac:dyDescent="0.2">
      <c r="A15" s="88"/>
      <c r="B15" s="88"/>
      <c r="C15" s="88"/>
      <c r="D15" s="88"/>
      <c r="E15" s="88"/>
      <c r="F15" s="88"/>
    </row>
    <row r="16" spans="1:12" x14ac:dyDescent="0.2">
      <c r="A16" s="88"/>
      <c r="B16" s="88"/>
      <c r="C16" s="88"/>
      <c r="D16" s="88"/>
      <c r="E16" s="88"/>
      <c r="F16" s="88"/>
    </row>
    <row r="17" spans="1:6" x14ac:dyDescent="0.2">
      <c r="A17" s="88"/>
      <c r="B17" s="88"/>
      <c r="C17" s="88"/>
      <c r="D17" s="88"/>
      <c r="E17" s="88"/>
      <c r="F17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88"/>
      <c r="B22" s="88"/>
      <c r="C22" s="88"/>
      <c r="D22" s="88"/>
      <c r="E22" s="88"/>
      <c r="F22" s="88"/>
    </row>
    <row r="23" spans="1:6" x14ac:dyDescent="0.2">
      <c r="A23" s="88"/>
      <c r="B23" s="88"/>
      <c r="C23" s="88"/>
      <c r="D23" s="88"/>
      <c r="E23" s="88"/>
      <c r="F23" s="88"/>
    </row>
    <row r="24" spans="1:6" x14ac:dyDescent="0.2">
      <c r="A24" s="88"/>
      <c r="B24" s="88"/>
      <c r="C24" s="88"/>
      <c r="D24" s="88"/>
      <c r="E24" s="88"/>
      <c r="F24" s="88"/>
    </row>
    <row r="25" spans="1:6" x14ac:dyDescent="0.2">
      <c r="A25" s="88"/>
      <c r="B25" s="88"/>
      <c r="C25" s="88"/>
      <c r="D25" s="88"/>
      <c r="E25" s="88"/>
      <c r="F25" s="88"/>
    </row>
    <row r="26" spans="1:6" x14ac:dyDescent="0.2">
      <c r="A26" s="88"/>
      <c r="B26" s="88"/>
      <c r="C26" s="88"/>
      <c r="D26" s="88"/>
      <c r="E26" s="88"/>
      <c r="F26" s="88"/>
    </row>
    <row r="27" spans="1:6" x14ac:dyDescent="0.2">
      <c r="A27" s="88"/>
      <c r="B27" s="88"/>
      <c r="C27" s="88"/>
      <c r="D27" s="88"/>
      <c r="E27" s="88"/>
      <c r="F27" s="88"/>
    </row>
    <row r="28" spans="1:6" x14ac:dyDescent="0.2">
      <c r="A28" s="88"/>
      <c r="B28" s="88"/>
      <c r="C28" s="88"/>
      <c r="D28" s="88"/>
      <c r="E28" s="88"/>
      <c r="F28" s="88"/>
    </row>
    <row r="29" spans="1:6" x14ac:dyDescent="0.2">
      <c r="A29" s="88"/>
      <c r="B29" s="88"/>
      <c r="C29" s="88"/>
      <c r="D29" s="88"/>
      <c r="E29" s="88"/>
      <c r="F29" s="88"/>
    </row>
    <row r="30" spans="1:6" x14ac:dyDescent="0.2">
      <c r="A30" s="88"/>
      <c r="B30" s="88"/>
      <c r="C30" s="88"/>
      <c r="D30" s="88"/>
      <c r="E30" s="88"/>
      <c r="F30" s="88"/>
    </row>
    <row r="31" spans="1:6" x14ac:dyDescent="0.2">
      <c r="A31" s="88"/>
      <c r="B31" s="88"/>
      <c r="C31" s="88"/>
      <c r="D31" s="88"/>
      <c r="E31" s="88"/>
      <c r="F31" s="88"/>
    </row>
    <row r="32" spans="1:6" x14ac:dyDescent="0.2">
      <c r="A32" s="88"/>
      <c r="B32" s="88"/>
      <c r="C32" s="88"/>
      <c r="D32" s="88"/>
      <c r="E32" s="88"/>
      <c r="F32" s="88"/>
    </row>
    <row r="33" spans="1:6" x14ac:dyDescent="0.2">
      <c r="A33" s="88"/>
      <c r="B33" s="88"/>
      <c r="C33" s="88"/>
      <c r="D33" s="88"/>
      <c r="E33" s="88"/>
      <c r="F33" s="88"/>
    </row>
    <row r="34" spans="1:6" x14ac:dyDescent="0.2">
      <c r="A34" s="88"/>
      <c r="B34" s="88"/>
      <c r="C34" s="88"/>
      <c r="D34" s="88"/>
      <c r="E34" s="88"/>
      <c r="F34" s="88"/>
    </row>
    <row r="35" spans="1:6" x14ac:dyDescent="0.2">
      <c r="A35" s="88"/>
      <c r="B35" s="88"/>
      <c r="C35" s="88"/>
      <c r="D35" s="88"/>
      <c r="E35" s="88"/>
      <c r="F35" s="88"/>
    </row>
    <row r="36" spans="1:6" x14ac:dyDescent="0.2">
      <c r="A36" s="88"/>
      <c r="B36" s="88"/>
      <c r="C36" s="88"/>
      <c r="D36" s="88"/>
      <c r="E36" s="88"/>
      <c r="F36" s="88"/>
    </row>
    <row r="37" spans="1:6" x14ac:dyDescent="0.2">
      <c r="A37" s="88"/>
      <c r="B37" s="88"/>
      <c r="C37" s="88"/>
      <c r="D37" s="88"/>
      <c r="E37" s="88"/>
      <c r="F37" s="88"/>
    </row>
    <row r="38" spans="1:6" x14ac:dyDescent="0.2">
      <c r="A38" s="88"/>
      <c r="B38" s="88"/>
      <c r="C38" s="88"/>
      <c r="D38" s="88"/>
      <c r="E38" s="88"/>
      <c r="F38" s="88"/>
    </row>
    <row r="39" spans="1:6" x14ac:dyDescent="0.2">
      <c r="A39" s="88"/>
      <c r="B39" s="88"/>
      <c r="C39" s="88"/>
      <c r="D39" s="88"/>
      <c r="E39" s="88"/>
      <c r="F39" s="88"/>
    </row>
    <row r="40" spans="1:6" x14ac:dyDescent="0.2">
      <c r="A40" s="88"/>
      <c r="B40" s="88"/>
      <c r="C40" s="88"/>
      <c r="D40" s="88"/>
      <c r="E40" s="88"/>
      <c r="F40" s="88"/>
    </row>
    <row r="41" spans="1:6" x14ac:dyDescent="0.2">
      <c r="A41" s="88"/>
      <c r="B41" s="88"/>
      <c r="C41" s="88"/>
      <c r="D41" s="88"/>
      <c r="E41" s="88"/>
      <c r="F41" s="88"/>
    </row>
    <row r="42" spans="1:6" x14ac:dyDescent="0.2">
      <c r="A42" s="88"/>
      <c r="B42" s="88"/>
      <c r="C42" s="88"/>
      <c r="D42" s="88"/>
      <c r="E42" s="88"/>
      <c r="F42" s="88"/>
    </row>
    <row r="43" spans="1:6" x14ac:dyDescent="0.2">
      <c r="A43" s="88"/>
      <c r="B43" s="88"/>
      <c r="C43" s="88"/>
      <c r="D43" s="88"/>
      <c r="E43" s="88"/>
      <c r="F43" s="88"/>
    </row>
    <row r="44" spans="1:6" x14ac:dyDescent="0.2">
      <c r="A44" s="88"/>
      <c r="B44" s="88"/>
      <c r="C44" s="88"/>
      <c r="D44" s="88"/>
      <c r="E44" s="88"/>
      <c r="F44" s="88"/>
    </row>
    <row r="45" spans="1:6" x14ac:dyDescent="0.2">
      <c r="A45" s="64" t="s">
        <v>133</v>
      </c>
      <c r="B45" s="64" t="s">
        <v>132</v>
      </c>
      <c r="C45" s="64" t="s">
        <v>131</v>
      </c>
      <c r="D45" s="64" t="s">
        <v>130</v>
      </c>
      <c r="E45" s="64" t="s">
        <v>129</v>
      </c>
      <c r="F45" s="64" t="s">
        <v>128</v>
      </c>
    </row>
    <row r="46" spans="1:6" x14ac:dyDescent="0.2">
      <c r="A46" s="59" t="s">
        <v>205</v>
      </c>
      <c r="B46" s="59" t="s">
        <v>117</v>
      </c>
      <c r="C46" s="59" t="s">
        <v>204</v>
      </c>
      <c r="D46" s="59" t="s">
        <v>203</v>
      </c>
      <c r="E46" s="59" t="s">
        <v>202</v>
      </c>
      <c r="F46" s="59" t="s">
        <v>201</v>
      </c>
    </row>
    <row r="47" spans="1:6" x14ac:dyDescent="0.2">
      <c r="A47" s="59" t="s">
        <v>191</v>
      </c>
      <c r="B47" s="59" t="s">
        <v>117</v>
      </c>
      <c r="C47" s="59" t="s">
        <v>200</v>
      </c>
      <c r="D47" s="59" t="s">
        <v>199</v>
      </c>
      <c r="E47" s="59" t="s">
        <v>198</v>
      </c>
      <c r="F47" s="59" t="s">
        <v>197</v>
      </c>
    </row>
    <row r="48" spans="1:6" x14ac:dyDescent="0.2">
      <c r="A48" s="59" t="s">
        <v>183</v>
      </c>
      <c r="B48" s="59" t="s">
        <v>117</v>
      </c>
      <c r="C48" s="59" t="s">
        <v>196</v>
      </c>
      <c r="D48" s="59" t="s">
        <v>195</v>
      </c>
      <c r="E48" s="59" t="s">
        <v>194</v>
      </c>
      <c r="F48" s="59" t="s">
        <v>193</v>
      </c>
    </row>
    <row r="49" spans="1:6" x14ac:dyDescent="0.2">
      <c r="A49" s="88"/>
      <c r="B49" s="88"/>
      <c r="C49" s="88"/>
      <c r="D49" s="88"/>
      <c r="E49" s="88"/>
      <c r="F49" s="88"/>
    </row>
    <row r="50" spans="1:6" x14ac:dyDescent="0.2">
      <c r="A50" s="88"/>
      <c r="B50" s="88"/>
      <c r="C50" s="88"/>
      <c r="D50" s="88"/>
      <c r="E50" s="88"/>
      <c r="F50" s="88"/>
    </row>
    <row r="51" spans="1:6" x14ac:dyDescent="0.25">
      <c r="A51" s="64" t="s">
        <v>112</v>
      </c>
      <c r="B51" s="64" t="s">
        <v>192</v>
      </c>
      <c r="C51" s="64" t="s">
        <v>191</v>
      </c>
      <c r="D51" s="64" t="s">
        <v>172</v>
      </c>
    </row>
    <row r="52" spans="1:6" x14ac:dyDescent="0.25">
      <c r="A52" s="62">
        <v>46185</v>
      </c>
      <c r="B52" s="60">
        <v>23.928354401057319</v>
      </c>
      <c r="C52" s="61">
        <v>3977</v>
      </c>
      <c r="D52" s="60">
        <v>-12.262982128877372</v>
      </c>
    </row>
    <row r="53" spans="1:6" x14ac:dyDescent="0.25">
      <c r="A53" s="62">
        <v>46184</v>
      </c>
      <c r="B53" s="60">
        <v>19.14008145728253</v>
      </c>
      <c r="C53" s="61">
        <v>2029</v>
      </c>
      <c r="D53" s="60">
        <v>-13.38887712999669</v>
      </c>
    </row>
    <row r="54" spans="1:6" x14ac:dyDescent="0.25">
      <c r="A54" s="62">
        <v>46183</v>
      </c>
      <c r="B54" s="60">
        <v>19.896901164423447</v>
      </c>
      <c r="C54" s="61">
        <v>1349</v>
      </c>
      <c r="D54" s="60">
        <v>-12.943835783962649</v>
      </c>
    </row>
    <row r="55" spans="1:6" x14ac:dyDescent="0.25">
      <c r="A55" s="62">
        <v>46182</v>
      </c>
      <c r="B55" s="60">
        <v>19.993209248749338</v>
      </c>
      <c r="C55" s="61">
        <v>3022</v>
      </c>
      <c r="D55" s="60">
        <v>-13.379290771145573</v>
      </c>
    </row>
    <row r="56" spans="1:6" x14ac:dyDescent="0.25">
      <c r="A56" s="62">
        <v>46181</v>
      </c>
      <c r="B56" s="60">
        <v>15.994123144244757</v>
      </c>
      <c r="C56" s="61">
        <v>1360</v>
      </c>
      <c r="D56" s="60">
        <v>-13.902555627322593</v>
      </c>
    </row>
    <row r="57" spans="1:6" x14ac:dyDescent="0.25">
      <c r="A57" s="62">
        <v>46178</v>
      </c>
      <c r="B57" s="60">
        <v>18.179539212621901</v>
      </c>
      <c r="C57" s="61">
        <v>8029</v>
      </c>
      <c r="D57" s="60">
        <v>-12.776094483701733</v>
      </c>
    </row>
    <row r="58" spans="1:6" x14ac:dyDescent="0.25">
      <c r="A58" s="62">
        <v>46177</v>
      </c>
      <c r="B58" s="60">
        <v>17.440331033257223</v>
      </c>
      <c r="C58" s="61">
        <v>1901</v>
      </c>
      <c r="D58" s="60">
        <v>-12.645241608318329</v>
      </c>
    </row>
    <row r="59" spans="1:6" x14ac:dyDescent="0.25">
      <c r="A59" s="62">
        <v>46176</v>
      </c>
      <c r="B59" s="60">
        <v>19.70999684261799</v>
      </c>
      <c r="C59" s="61">
        <v>2524</v>
      </c>
      <c r="D59" s="60">
        <v>-12.107978365707543</v>
      </c>
    </row>
    <row r="60" spans="1:6" x14ac:dyDescent="0.25">
      <c r="A60" s="62">
        <v>46175</v>
      </c>
      <c r="B60" s="60">
        <v>18.141301571233875</v>
      </c>
      <c r="C60" s="61">
        <v>2494</v>
      </c>
      <c r="D60" s="60">
        <v>-11.036408153136986</v>
      </c>
    </row>
    <row r="61" spans="1:6" x14ac:dyDescent="0.25">
      <c r="A61" s="62">
        <v>46174</v>
      </c>
      <c r="B61" s="60">
        <v>16.320015739311298</v>
      </c>
      <c r="C61" s="61">
        <v>2346</v>
      </c>
      <c r="D61" s="60">
        <v>-10.968605202721241</v>
      </c>
    </row>
    <row r="62" spans="1:6" x14ac:dyDescent="0.25">
      <c r="A62" s="62">
        <v>46171</v>
      </c>
      <c r="B62" s="60">
        <v>16.364123889958091</v>
      </c>
      <c r="C62" s="61">
        <v>9878</v>
      </c>
      <c r="D62" s="60">
        <v>-10.869998331422002</v>
      </c>
    </row>
    <row r="63" spans="1:6" x14ac:dyDescent="0.25">
      <c r="A63" s="62">
        <v>46170</v>
      </c>
      <c r="B63" s="63" t="s">
        <v>108</v>
      </c>
      <c r="C63" s="63" t="s">
        <v>108</v>
      </c>
      <c r="D63" s="60">
        <v>-11.56123567002539</v>
      </c>
    </row>
    <row r="64" spans="1:6" x14ac:dyDescent="0.25">
      <c r="A64" s="62">
        <v>46169</v>
      </c>
      <c r="B64" s="60">
        <v>14.316902782780039</v>
      </c>
      <c r="C64" s="61">
        <v>1532</v>
      </c>
      <c r="D64" s="60">
        <v>-10.983384983716006</v>
      </c>
    </row>
    <row r="65" spans="1:4" x14ac:dyDescent="0.25">
      <c r="A65" s="62">
        <v>46168</v>
      </c>
      <c r="B65" s="60">
        <v>13.76190166421005</v>
      </c>
      <c r="C65" s="61">
        <v>2630</v>
      </c>
      <c r="D65" s="60">
        <v>-10.79802463495704</v>
      </c>
    </row>
    <row r="66" spans="1:4" x14ac:dyDescent="0.25">
      <c r="A66" s="62">
        <v>46167</v>
      </c>
      <c r="B66" s="60">
        <v>15.257929550715644</v>
      </c>
      <c r="C66" s="61">
        <v>2123</v>
      </c>
      <c r="D66" s="60">
        <v>-10.267066731706514</v>
      </c>
    </row>
    <row r="67" spans="1:4" x14ac:dyDescent="0.25">
      <c r="A67" s="62">
        <v>46164</v>
      </c>
      <c r="B67" s="60">
        <v>14.414321503992742</v>
      </c>
      <c r="C67" s="61">
        <v>16226</v>
      </c>
      <c r="D67" s="60">
        <v>-10.336930898440686</v>
      </c>
    </row>
    <row r="68" spans="1:4" x14ac:dyDescent="0.25">
      <c r="A68" s="62">
        <v>46163</v>
      </c>
      <c r="B68" s="60">
        <v>11.688818583811038</v>
      </c>
      <c r="C68" s="61">
        <v>11792</v>
      </c>
      <c r="D68" s="60">
        <v>-10.088665859373041</v>
      </c>
    </row>
    <row r="69" spans="1:4" x14ac:dyDescent="0.25">
      <c r="A69" s="62">
        <v>46162</v>
      </c>
      <c r="B69" s="60">
        <v>16.840745776803246</v>
      </c>
      <c r="C69" s="61">
        <v>2427</v>
      </c>
      <c r="D69" s="60">
        <v>-9.7582661762048524</v>
      </c>
    </row>
    <row r="70" spans="1:4" x14ac:dyDescent="0.25">
      <c r="A70" s="62">
        <v>46161</v>
      </c>
      <c r="B70" s="60">
        <v>17.732745859307695</v>
      </c>
      <c r="C70" s="61">
        <v>1303</v>
      </c>
      <c r="D70" s="60">
        <v>-9.2719100464630326</v>
      </c>
    </row>
    <row r="71" spans="1:4" x14ac:dyDescent="0.25">
      <c r="A71" s="62">
        <v>46160</v>
      </c>
      <c r="B71" s="60">
        <v>17.911241073256026</v>
      </c>
      <c r="C71" s="61">
        <v>750</v>
      </c>
      <c r="D71" s="60">
        <v>-8.9952657370080686</v>
      </c>
    </row>
    <row r="72" spans="1:4" x14ac:dyDescent="0.25">
      <c r="A72" s="62">
        <v>46157</v>
      </c>
      <c r="B72" s="60">
        <v>19.625429776809575</v>
      </c>
      <c r="C72" s="61">
        <v>1646</v>
      </c>
      <c r="D72" s="60">
        <v>-7.8994580513555563</v>
      </c>
    </row>
    <row r="73" spans="1:4" x14ac:dyDescent="0.25">
      <c r="A73" s="62">
        <v>46156</v>
      </c>
      <c r="B73" s="60">
        <v>17.283572569807486</v>
      </c>
      <c r="C73" s="61">
        <v>5764</v>
      </c>
      <c r="D73" s="60">
        <v>-7.1602171693646746</v>
      </c>
    </row>
    <row r="74" spans="1:4" x14ac:dyDescent="0.25">
      <c r="A74" s="62">
        <v>46155</v>
      </c>
      <c r="B74" s="60">
        <v>15.248251143559326</v>
      </c>
      <c r="C74" s="61">
        <v>796</v>
      </c>
      <c r="D74" s="60">
        <v>-7.1713385396029459</v>
      </c>
    </row>
    <row r="75" spans="1:4" x14ac:dyDescent="0.25">
      <c r="A75" s="62">
        <v>46154</v>
      </c>
      <c r="B75" s="60">
        <v>15.788337995363886</v>
      </c>
      <c r="C75" s="61">
        <v>521</v>
      </c>
      <c r="D75" s="60">
        <v>-7.0626525901551176</v>
      </c>
    </row>
    <row r="76" spans="1:4" x14ac:dyDescent="0.25">
      <c r="A76" s="62">
        <v>46153</v>
      </c>
      <c r="B76" s="60">
        <v>18.319955447594587</v>
      </c>
      <c r="C76" s="61">
        <v>1077</v>
      </c>
      <c r="D76" s="60">
        <v>-5.8318182633310469</v>
      </c>
    </row>
    <row r="77" spans="1:4" x14ac:dyDescent="0.25">
      <c r="A77" s="62">
        <v>46150</v>
      </c>
      <c r="B77" s="60">
        <v>21.022769642803301</v>
      </c>
      <c r="C77" s="61">
        <v>1534</v>
      </c>
      <c r="D77" s="60">
        <v>-5.4527462205925152</v>
      </c>
    </row>
    <row r="78" spans="1:4" x14ac:dyDescent="0.25">
      <c r="A78" s="62">
        <v>46149</v>
      </c>
      <c r="B78" s="60">
        <v>20.227077644624742</v>
      </c>
      <c r="C78" s="61">
        <v>5636</v>
      </c>
      <c r="D78" s="60">
        <v>-5.241316450898573</v>
      </c>
    </row>
    <row r="79" spans="1:4" x14ac:dyDescent="0.25">
      <c r="A79" s="62">
        <v>46148</v>
      </c>
      <c r="B79" s="60">
        <v>16.359681342410926</v>
      </c>
      <c r="C79" s="61">
        <v>1901</v>
      </c>
      <c r="D79" s="60">
        <v>-5.6132184952332338</v>
      </c>
    </row>
    <row r="80" spans="1:4" x14ac:dyDescent="0.25">
      <c r="A80" s="62">
        <v>46147</v>
      </c>
      <c r="B80" s="60">
        <v>13.870268091878218</v>
      </c>
      <c r="C80" s="61">
        <v>739</v>
      </c>
      <c r="D80" s="60">
        <v>-6.1215610244224647</v>
      </c>
    </row>
    <row r="81" spans="1:4" x14ac:dyDescent="0.25">
      <c r="A81" s="62">
        <v>46146</v>
      </c>
      <c r="B81" s="60">
        <v>13.67860389770083</v>
      </c>
      <c r="C81" s="61">
        <v>1136</v>
      </c>
      <c r="D81" s="60">
        <v>-6.0497757451342151</v>
      </c>
    </row>
    <row r="82" spans="1:4" x14ac:dyDescent="0.25">
      <c r="A82" s="62">
        <v>46143</v>
      </c>
      <c r="B82" s="63" t="s">
        <v>108</v>
      </c>
      <c r="C82" s="63" t="s">
        <v>108</v>
      </c>
      <c r="D82" s="60">
        <v>-6.3269535342088652</v>
      </c>
    </row>
    <row r="83" spans="1:4" x14ac:dyDescent="0.25">
      <c r="A83" s="62">
        <v>46142</v>
      </c>
      <c r="B83" s="60">
        <v>14.264861511513345</v>
      </c>
      <c r="C83" s="61">
        <v>1528</v>
      </c>
      <c r="D83" s="60">
        <v>-6.3375679973296348</v>
      </c>
    </row>
    <row r="84" spans="1:4" x14ac:dyDescent="0.25">
      <c r="A84" s="62">
        <v>46141</v>
      </c>
      <c r="B84" s="60">
        <v>15.346463176834019</v>
      </c>
      <c r="C84" s="61">
        <v>1241</v>
      </c>
      <c r="D84" s="60">
        <v>-5.3826104762152358</v>
      </c>
    </row>
    <row r="85" spans="1:4" x14ac:dyDescent="0.25">
      <c r="A85" s="62">
        <v>46140</v>
      </c>
      <c r="B85" s="60">
        <v>18.536370978106177</v>
      </c>
      <c r="C85" s="61">
        <v>862</v>
      </c>
      <c r="D85" s="60">
        <v>-6.1384719324183505</v>
      </c>
    </row>
    <row r="86" spans="1:4" x14ac:dyDescent="0.25">
      <c r="A86" s="62">
        <v>46139</v>
      </c>
      <c r="B86" s="60">
        <v>18.040233614536021</v>
      </c>
      <c r="C86" s="61">
        <v>1009</v>
      </c>
      <c r="D86" s="60">
        <v>-5.6655387509916384</v>
      </c>
    </row>
    <row r="87" spans="1:4" x14ac:dyDescent="0.25">
      <c r="A87" s="62">
        <v>46136</v>
      </c>
      <c r="B87" s="60">
        <v>16.397760321386571</v>
      </c>
      <c r="C87" s="61">
        <v>1922</v>
      </c>
      <c r="D87" s="60">
        <v>-5.4610233309946814</v>
      </c>
    </row>
    <row r="88" spans="1:4" x14ac:dyDescent="0.25">
      <c r="A88" s="62">
        <v>46135</v>
      </c>
      <c r="B88" s="60">
        <v>18.793245423779364</v>
      </c>
      <c r="C88" s="61">
        <v>780</v>
      </c>
      <c r="D88" s="60">
        <v>-5.036855880299953</v>
      </c>
    </row>
    <row r="89" spans="1:4" x14ac:dyDescent="0.25">
      <c r="A89" s="62">
        <v>46134</v>
      </c>
      <c r="B89" s="60">
        <v>20.074285741484992</v>
      </c>
      <c r="C89" s="61">
        <v>1575</v>
      </c>
      <c r="D89" s="60">
        <v>-4.560109147139749</v>
      </c>
    </row>
    <row r="90" spans="1:4" x14ac:dyDescent="0.25">
      <c r="A90" s="62">
        <v>46133</v>
      </c>
      <c r="B90" s="60">
        <v>20.943597099016447</v>
      </c>
      <c r="C90" s="61">
        <v>2746</v>
      </c>
      <c r="D90" s="60">
        <v>-4.5169900004188541</v>
      </c>
    </row>
    <row r="91" spans="1:4" x14ac:dyDescent="0.25">
      <c r="A91" s="62">
        <v>46132</v>
      </c>
      <c r="B91" s="60">
        <v>19.83756142218639</v>
      </c>
      <c r="C91" s="61">
        <v>3130</v>
      </c>
      <c r="D91" s="60">
        <v>-5.1646277201307367</v>
      </c>
    </row>
    <row r="92" spans="1:4" x14ac:dyDescent="0.25">
      <c r="A92" s="62">
        <v>46129</v>
      </c>
      <c r="B92" s="60">
        <v>19.014579489075292</v>
      </c>
      <c r="C92" s="61">
        <v>1299</v>
      </c>
      <c r="D92" s="60">
        <v>-5.1619797993835288</v>
      </c>
    </row>
    <row r="93" spans="1:4" x14ac:dyDescent="0.25">
      <c r="A93" s="62">
        <v>46128</v>
      </c>
      <c r="B93" s="60">
        <v>18.760402304412874</v>
      </c>
      <c r="C93" s="61">
        <v>1369</v>
      </c>
      <c r="D93" s="60">
        <v>-5.5985776995106677</v>
      </c>
    </row>
    <row r="94" spans="1:4" x14ac:dyDescent="0.25">
      <c r="A94" s="62">
        <v>46127</v>
      </c>
      <c r="B94" s="60">
        <v>17.626759367825478</v>
      </c>
      <c r="C94" s="61">
        <v>3953</v>
      </c>
      <c r="D94" s="60">
        <v>-5.8017434677483566</v>
      </c>
    </row>
    <row r="95" spans="1:4" x14ac:dyDescent="0.25">
      <c r="A95" s="62">
        <v>46126</v>
      </c>
      <c r="B95" s="63" t="s">
        <v>108</v>
      </c>
      <c r="C95" s="63" t="s">
        <v>108</v>
      </c>
      <c r="D95" s="60">
        <v>-6.4863029651408191</v>
      </c>
    </row>
    <row r="96" spans="1:4" x14ac:dyDescent="0.25">
      <c r="A96" s="62">
        <v>46125</v>
      </c>
      <c r="B96" s="60">
        <v>16.160401352438406</v>
      </c>
      <c r="C96" s="61">
        <v>3982</v>
      </c>
      <c r="D96" s="60">
        <v>-6.8599219873853983</v>
      </c>
    </row>
    <row r="97" spans="1:4" x14ac:dyDescent="0.25">
      <c r="A97" s="62">
        <v>46122</v>
      </c>
      <c r="B97" s="60">
        <v>18.374059330222487</v>
      </c>
      <c r="C97" s="61">
        <v>3991</v>
      </c>
      <c r="D97" s="60">
        <v>-5.7895997776556287</v>
      </c>
    </row>
    <row r="98" spans="1:4" x14ac:dyDescent="0.25">
      <c r="A98" s="62">
        <v>46121</v>
      </c>
      <c r="B98" s="60">
        <v>16.649716232275416</v>
      </c>
      <c r="C98" s="61">
        <v>14832</v>
      </c>
      <c r="D98" s="60">
        <v>-6.1643157262598844</v>
      </c>
    </row>
    <row r="99" spans="1:4" x14ac:dyDescent="0.25">
      <c r="A99" s="62">
        <v>46120</v>
      </c>
      <c r="B99" s="60">
        <v>14.05384050302332</v>
      </c>
      <c r="C99" s="61">
        <v>3535</v>
      </c>
      <c r="D99" s="60">
        <v>-5.506196019066592</v>
      </c>
    </row>
    <row r="100" spans="1:4" x14ac:dyDescent="0.25">
      <c r="A100" s="62">
        <v>46119</v>
      </c>
      <c r="B100" s="60">
        <v>6.0466245365074167</v>
      </c>
      <c r="C100" s="61">
        <v>3430</v>
      </c>
      <c r="D100" s="60">
        <v>-6.9978522788865725</v>
      </c>
    </row>
    <row r="101" spans="1:4" x14ac:dyDescent="0.25">
      <c r="A101" s="62">
        <v>46118</v>
      </c>
      <c r="B101" s="60">
        <v>6.1940219176256504</v>
      </c>
      <c r="C101" s="61">
        <v>6128</v>
      </c>
      <c r="D101" s="60">
        <v>-7.1332923248785223</v>
      </c>
    </row>
    <row r="102" spans="1:4" x14ac:dyDescent="0.25">
      <c r="A102" s="62">
        <v>46115</v>
      </c>
      <c r="B102" s="63" t="s">
        <v>108</v>
      </c>
      <c r="C102" s="63" t="s">
        <v>108</v>
      </c>
      <c r="D102" s="60">
        <v>-7.4476944899030562</v>
      </c>
    </row>
    <row r="103" spans="1:4" x14ac:dyDescent="0.25">
      <c r="A103" s="62">
        <v>46114</v>
      </c>
      <c r="B103" s="60">
        <v>1.9810588812078629</v>
      </c>
      <c r="C103" s="61">
        <v>3718</v>
      </c>
      <c r="D103" s="60">
        <v>-7.4462322201349505</v>
      </c>
    </row>
    <row r="104" spans="1:4" x14ac:dyDescent="0.25">
      <c r="A104" s="62">
        <v>46113</v>
      </c>
      <c r="B104" s="60">
        <v>-2.8652845055047949</v>
      </c>
      <c r="C104" s="61">
        <v>2781</v>
      </c>
      <c r="D104" s="60">
        <v>-8.1796846441177085</v>
      </c>
    </row>
    <row r="105" spans="1:4" x14ac:dyDescent="0.25">
      <c r="A105" s="62">
        <v>46112</v>
      </c>
      <c r="B105" s="63" t="s">
        <v>108</v>
      </c>
      <c r="C105" s="63" t="s">
        <v>108</v>
      </c>
      <c r="D105" s="60">
        <v>-9.7289032620041631</v>
      </c>
    </row>
    <row r="106" spans="1:4" x14ac:dyDescent="0.25">
      <c r="A106" s="62">
        <v>46111</v>
      </c>
      <c r="B106" s="60">
        <v>-8.8227407662442623</v>
      </c>
      <c r="C106" s="61">
        <v>1755</v>
      </c>
      <c r="D106" s="60">
        <v>-9.8164651531138176</v>
      </c>
    </row>
    <row r="107" spans="1:4" x14ac:dyDescent="0.25">
      <c r="A107" s="62">
        <v>46108</v>
      </c>
      <c r="B107" s="60">
        <v>-5.9777650495264698</v>
      </c>
      <c r="C107" s="61">
        <v>1292</v>
      </c>
      <c r="D107" s="60">
        <v>-9.4228944593649562</v>
      </c>
    </row>
    <row r="108" spans="1:4" x14ac:dyDescent="0.25">
      <c r="A108" s="62">
        <v>46107</v>
      </c>
      <c r="B108" s="63" t="s">
        <v>108</v>
      </c>
      <c r="C108" s="63" t="s">
        <v>108</v>
      </c>
      <c r="D108" s="60">
        <v>-9.2382936136435525</v>
      </c>
    </row>
    <row r="109" spans="1:4" x14ac:dyDescent="0.25">
      <c r="A109" s="62">
        <v>46106</v>
      </c>
      <c r="B109" s="60">
        <v>-3.5695869541418075</v>
      </c>
      <c r="C109" s="61">
        <v>484</v>
      </c>
      <c r="D109" s="60">
        <v>-8.4361081570564842</v>
      </c>
    </row>
    <row r="110" spans="1:4" x14ac:dyDescent="0.25">
      <c r="A110" s="62">
        <v>46105</v>
      </c>
      <c r="B110" s="60">
        <v>-4.5850263934923072</v>
      </c>
      <c r="C110" s="61">
        <v>1243</v>
      </c>
      <c r="D110" s="60">
        <v>-10.011223971250171</v>
      </c>
    </row>
    <row r="111" spans="1:4" x14ac:dyDescent="0.25">
      <c r="A111" s="62">
        <v>46104</v>
      </c>
      <c r="B111" s="60">
        <v>-7.5182184115036597</v>
      </c>
      <c r="C111" s="61">
        <v>812</v>
      </c>
      <c r="D111" s="60">
        <v>-11.410366010251172</v>
      </c>
    </row>
    <row r="112" spans="1:4" x14ac:dyDescent="0.25">
      <c r="A112" s="62">
        <v>46101</v>
      </c>
      <c r="B112" s="60">
        <v>-3.5177043452874859</v>
      </c>
      <c r="C112" s="61">
        <v>566</v>
      </c>
      <c r="D112" s="60">
        <v>-8.9066616269447643</v>
      </c>
    </row>
    <row r="113" spans="1:4" x14ac:dyDescent="0.25">
      <c r="A113" s="62">
        <v>46100</v>
      </c>
      <c r="B113" s="60">
        <v>-4.230733226606417</v>
      </c>
      <c r="C113" s="61">
        <v>432</v>
      </c>
      <c r="D113" s="60">
        <v>-8.4442261497906266</v>
      </c>
    </row>
    <row r="114" spans="1:4" x14ac:dyDescent="0.25">
      <c r="A114" s="62">
        <v>46099</v>
      </c>
      <c r="B114" s="60">
        <v>-1.6659553301844132</v>
      </c>
      <c r="C114" s="61">
        <v>403</v>
      </c>
      <c r="D114" s="60">
        <v>-6.6328690764946057</v>
      </c>
    </row>
    <row r="115" spans="1:4" x14ac:dyDescent="0.25">
      <c r="A115" s="62">
        <v>46098</v>
      </c>
      <c r="B115" s="60">
        <v>-2.814671195949666</v>
      </c>
      <c r="C115" s="61">
        <v>455</v>
      </c>
      <c r="D115" s="60">
        <v>-6.434182488035681</v>
      </c>
    </row>
    <row r="116" spans="1:4" x14ac:dyDescent="0.25">
      <c r="A116" s="62">
        <v>46097</v>
      </c>
      <c r="B116" s="60">
        <v>-3.6197242764597362</v>
      </c>
      <c r="C116" s="61">
        <v>549</v>
      </c>
      <c r="D116" s="60">
        <v>-6.5665306346049706</v>
      </c>
    </row>
    <row r="117" spans="1:4" x14ac:dyDescent="0.25">
      <c r="A117" s="62">
        <v>46094</v>
      </c>
      <c r="B117" s="60">
        <v>-4.181230553938085</v>
      </c>
      <c r="C117" s="61">
        <v>388</v>
      </c>
      <c r="D117" s="60">
        <v>-7.4971070802105082</v>
      </c>
    </row>
    <row r="118" spans="1:4" x14ac:dyDescent="0.25">
      <c r="A118" s="62">
        <v>46093</v>
      </c>
      <c r="B118" s="60">
        <v>-0.73857352971508994</v>
      </c>
      <c r="C118" s="61">
        <v>1153</v>
      </c>
      <c r="D118" s="60">
        <v>-6.6325398769342021</v>
      </c>
    </row>
    <row r="119" spans="1:4" x14ac:dyDescent="0.25">
      <c r="A119" s="62">
        <v>46092</v>
      </c>
      <c r="B119" s="60">
        <v>0.57055003498505963</v>
      </c>
      <c r="C119" s="61">
        <v>711</v>
      </c>
      <c r="D119" s="60">
        <v>-5.9154833318650741</v>
      </c>
    </row>
    <row r="120" spans="1:4" x14ac:dyDescent="0.25">
      <c r="A120" s="62">
        <v>46091</v>
      </c>
      <c r="B120" s="60">
        <v>1.69705316301452</v>
      </c>
      <c r="C120" s="61">
        <v>947</v>
      </c>
      <c r="D120" s="60">
        <v>-5.4812640838476145</v>
      </c>
    </row>
    <row r="121" spans="1:4" x14ac:dyDescent="0.25">
      <c r="A121" s="62">
        <v>46090</v>
      </c>
      <c r="B121" s="60">
        <v>0.34128284906920464</v>
      </c>
      <c r="C121" s="61">
        <v>1480</v>
      </c>
      <c r="D121" s="60">
        <v>-6.5586805403931878</v>
      </c>
    </row>
    <row r="122" spans="1:4" x14ac:dyDescent="0.25">
      <c r="A122" s="62">
        <v>46087</v>
      </c>
      <c r="B122" s="60">
        <v>5.8327476045942364</v>
      </c>
      <c r="C122" s="61">
        <v>1286</v>
      </c>
      <c r="D122" s="60">
        <v>-5.2750932861629165</v>
      </c>
    </row>
    <row r="123" spans="1:4" x14ac:dyDescent="0.25">
      <c r="A123" s="62">
        <v>46086</v>
      </c>
      <c r="B123" s="60">
        <v>5.4668720816032499</v>
      </c>
      <c r="C123" s="61">
        <v>1235</v>
      </c>
      <c r="D123" s="60">
        <v>-6.0653705484811313</v>
      </c>
    </row>
    <row r="124" spans="1:4" x14ac:dyDescent="0.25">
      <c r="A124" s="62">
        <v>46085</v>
      </c>
      <c r="B124" s="60">
        <v>6.0563029436637352</v>
      </c>
      <c r="C124" s="61">
        <v>1845</v>
      </c>
      <c r="D124" s="60">
        <v>-6.3180276797619728</v>
      </c>
    </row>
    <row r="125" spans="1:4" x14ac:dyDescent="0.25">
      <c r="A125" s="62">
        <v>46084</v>
      </c>
      <c r="B125" s="63" t="s">
        <v>108</v>
      </c>
      <c r="C125" s="63" t="s">
        <v>108</v>
      </c>
      <c r="D125" s="60">
        <v>-4.3990886930293494</v>
      </c>
    </row>
    <row r="126" spans="1:4" x14ac:dyDescent="0.25">
      <c r="A126" s="62">
        <v>46083</v>
      </c>
      <c r="B126" s="60">
        <v>12.304428743917278</v>
      </c>
      <c r="C126" s="61">
        <v>1346</v>
      </c>
      <c r="D126" s="60">
        <v>-3.7870830282736674</v>
      </c>
    </row>
    <row r="127" spans="1:4" x14ac:dyDescent="0.25">
      <c r="A127" s="62">
        <v>46080</v>
      </c>
      <c r="B127" s="60">
        <v>15.598419087722869</v>
      </c>
      <c r="C127" s="61">
        <v>649</v>
      </c>
      <c r="D127" s="60">
        <v>-1.7064168482027704</v>
      </c>
    </row>
    <row r="128" spans="1:4" x14ac:dyDescent="0.25">
      <c r="A128" s="62">
        <v>46079</v>
      </c>
      <c r="B128" s="60">
        <v>16.562134580631444</v>
      </c>
      <c r="C128" s="61">
        <v>952</v>
      </c>
      <c r="D128" s="60">
        <v>-0.96790454078297794</v>
      </c>
    </row>
    <row r="129" spans="1:4" x14ac:dyDescent="0.25">
      <c r="A129" s="62">
        <v>46078</v>
      </c>
      <c r="B129" s="60">
        <v>16.055208173018187</v>
      </c>
      <c r="C129" s="61">
        <v>3177</v>
      </c>
      <c r="D129" s="60">
        <v>-0.43217133584627576</v>
      </c>
    </row>
    <row r="130" spans="1:4" x14ac:dyDescent="0.25">
      <c r="A130" s="62">
        <v>46077</v>
      </c>
      <c r="B130" s="60">
        <v>12.27475887279876</v>
      </c>
      <c r="C130" s="61">
        <v>372</v>
      </c>
      <c r="D130" s="60">
        <v>-0.66475039754934162</v>
      </c>
    </row>
    <row r="131" spans="1:4" x14ac:dyDescent="0.25">
      <c r="A131" s="62">
        <v>46076</v>
      </c>
      <c r="B131" s="60">
        <v>12.178926775710043</v>
      </c>
      <c r="C131" s="61">
        <v>178</v>
      </c>
      <c r="D131" s="60">
        <v>-0.30302058798675024</v>
      </c>
    </row>
    <row r="132" spans="1:4" x14ac:dyDescent="0.25">
      <c r="A132" s="62">
        <v>46073</v>
      </c>
      <c r="B132" s="60">
        <v>11.743715778500933</v>
      </c>
      <c r="C132" s="61">
        <v>511</v>
      </c>
      <c r="D132" s="60">
        <v>-1.116313240737093</v>
      </c>
    </row>
    <row r="133" spans="1:4" x14ac:dyDescent="0.25">
      <c r="A133" s="62">
        <v>46072</v>
      </c>
      <c r="B133" s="60">
        <v>11.133341478003825</v>
      </c>
      <c r="C133" s="61">
        <v>548</v>
      </c>
      <c r="D133" s="60">
        <v>-0.51690039986578873</v>
      </c>
    </row>
    <row r="134" spans="1:4" x14ac:dyDescent="0.25">
      <c r="A134" s="62">
        <v>46071</v>
      </c>
      <c r="B134" s="60">
        <v>13.272904109197807</v>
      </c>
      <c r="C134" s="61">
        <v>356</v>
      </c>
      <c r="D134" s="60">
        <v>-8.2858701292124623E-2</v>
      </c>
    </row>
    <row r="135" spans="1:4" x14ac:dyDescent="0.25">
      <c r="A135" s="62">
        <v>46070</v>
      </c>
      <c r="B135" s="60">
        <v>12.317915048971152</v>
      </c>
      <c r="C135" s="61">
        <v>499</v>
      </c>
      <c r="D135" s="60">
        <v>-0.53980279882201943</v>
      </c>
    </row>
    <row r="136" spans="1:4" x14ac:dyDescent="0.25">
      <c r="A136" s="62">
        <v>46069</v>
      </c>
      <c r="B136" s="60">
        <v>12.622388218363893</v>
      </c>
      <c r="C136" s="61">
        <v>1141</v>
      </c>
      <c r="D136" s="60">
        <v>-0.77126329621065537</v>
      </c>
    </row>
    <row r="137" spans="1:4" x14ac:dyDescent="0.25">
      <c r="A137" s="62">
        <v>46066</v>
      </c>
      <c r="B137" s="60">
        <v>13.332561176259658</v>
      </c>
      <c r="C137" s="61">
        <v>424</v>
      </c>
      <c r="D137" s="60">
        <v>-1.0556515062879128</v>
      </c>
    </row>
    <row r="138" spans="1:4" x14ac:dyDescent="0.25">
      <c r="A138" s="62">
        <v>46065</v>
      </c>
      <c r="B138" s="60">
        <v>15.753432264636212</v>
      </c>
      <c r="C138" s="61">
        <v>502</v>
      </c>
      <c r="D138" s="60">
        <v>-0.20163589920346148</v>
      </c>
    </row>
    <row r="139" spans="1:4" x14ac:dyDescent="0.25">
      <c r="A139" s="62">
        <v>46064</v>
      </c>
      <c r="B139" s="60">
        <v>16.053304224069407</v>
      </c>
      <c r="C139" s="61">
        <v>687</v>
      </c>
      <c r="D139" s="60">
        <v>0.40940705144863959</v>
      </c>
    </row>
    <row r="140" spans="1:4" x14ac:dyDescent="0.25">
      <c r="A140" s="62">
        <v>46063</v>
      </c>
      <c r="B140" s="60">
        <v>12.76692967605895</v>
      </c>
      <c r="C140" s="61">
        <v>716</v>
      </c>
      <c r="D140" s="60">
        <v>0.14188572335711086</v>
      </c>
    </row>
    <row r="141" spans="1:4" x14ac:dyDescent="0.25">
      <c r="A141" s="62">
        <v>46062</v>
      </c>
      <c r="B141" s="60">
        <v>13.125665390492003</v>
      </c>
      <c r="C141" s="61">
        <v>843</v>
      </c>
      <c r="D141" s="60">
        <v>0.18053803004356522</v>
      </c>
    </row>
    <row r="142" spans="1:4" x14ac:dyDescent="0.25">
      <c r="A142" s="62">
        <v>46059</v>
      </c>
      <c r="B142" s="60">
        <v>15.382796869273271</v>
      </c>
      <c r="C142" s="61">
        <v>272</v>
      </c>
      <c r="D142" s="60">
        <v>-0.7666656871066877</v>
      </c>
    </row>
    <row r="143" spans="1:4" x14ac:dyDescent="0.25">
      <c r="A143" s="62">
        <v>46058</v>
      </c>
      <c r="B143" s="60">
        <v>15.090540705635211</v>
      </c>
      <c r="C143" s="61">
        <v>186</v>
      </c>
      <c r="D143" s="60">
        <v>-0.72224392074307797</v>
      </c>
    </row>
    <row r="144" spans="1:4" x14ac:dyDescent="0.25">
      <c r="A144" s="62">
        <v>46057</v>
      </c>
      <c r="B144" s="60">
        <v>16.440757835146577</v>
      </c>
      <c r="C144" s="61">
        <v>1068</v>
      </c>
      <c r="D144" s="60">
        <v>-1.3407533521119464</v>
      </c>
    </row>
    <row r="145" spans="1:4" x14ac:dyDescent="0.25">
      <c r="A145" s="62">
        <v>46056</v>
      </c>
      <c r="B145" s="60">
        <v>19.745854547820066</v>
      </c>
      <c r="C145" s="61">
        <v>360</v>
      </c>
      <c r="D145" s="60">
        <v>-1.8546047942781567</v>
      </c>
    </row>
    <row r="146" spans="1:4" x14ac:dyDescent="0.25">
      <c r="A146" s="62">
        <v>46055</v>
      </c>
      <c r="B146" s="60">
        <v>16.149612308395302</v>
      </c>
      <c r="C146" s="61">
        <v>126</v>
      </c>
      <c r="D146" s="60">
        <v>-3.2073447316013741</v>
      </c>
    </row>
    <row r="147" spans="1:4" x14ac:dyDescent="0.25">
      <c r="A147" s="62">
        <v>46054</v>
      </c>
      <c r="B147" s="60">
        <v>14.628515760730737</v>
      </c>
      <c r="C147" s="61">
        <v>393</v>
      </c>
      <c r="D147" s="63" t="s">
        <v>108</v>
      </c>
    </row>
    <row r="148" spans="1:4" x14ac:dyDescent="0.25">
      <c r="A148" s="62">
        <v>46052</v>
      </c>
      <c r="B148" s="60">
        <v>15.972069068921373</v>
      </c>
      <c r="C148" s="61">
        <v>637</v>
      </c>
      <c r="D148" s="60">
        <v>-2.8682894875385743</v>
      </c>
    </row>
    <row r="149" spans="1:4" x14ac:dyDescent="0.25">
      <c r="A149" s="62">
        <v>46051</v>
      </c>
      <c r="B149" s="60">
        <v>14.381319722213846</v>
      </c>
      <c r="C149" s="61">
        <v>262</v>
      </c>
      <c r="D149" s="60">
        <v>-2.3560834888380398</v>
      </c>
    </row>
    <row r="150" spans="1:4" x14ac:dyDescent="0.25">
      <c r="A150" s="62">
        <v>46050</v>
      </c>
      <c r="B150" s="60">
        <v>14.702769769733248</v>
      </c>
      <c r="C150" s="61">
        <v>815</v>
      </c>
      <c r="D150" s="60">
        <v>-2.9566520865530062</v>
      </c>
    </row>
    <row r="151" spans="1:4" x14ac:dyDescent="0.25">
      <c r="A151" s="62">
        <v>46049</v>
      </c>
      <c r="B151" s="60">
        <v>12.257147345022515</v>
      </c>
      <c r="C151" s="61">
        <v>876</v>
      </c>
      <c r="D151" s="60">
        <v>-2.8468421672621993</v>
      </c>
    </row>
    <row r="152" spans="1:4" x14ac:dyDescent="0.25">
      <c r="A152" s="62">
        <v>46048</v>
      </c>
      <c r="B152" s="63" t="s">
        <v>108</v>
      </c>
      <c r="C152" s="63" t="s">
        <v>108</v>
      </c>
      <c r="D152" s="60">
        <v>-2.7201331253126648</v>
      </c>
    </row>
    <row r="153" spans="1:4" x14ac:dyDescent="0.25">
      <c r="A153" s="62">
        <v>46045</v>
      </c>
      <c r="B153" s="60">
        <v>11.949342264969394</v>
      </c>
      <c r="C153" s="61">
        <v>551</v>
      </c>
      <c r="D153" s="60">
        <v>-2.8168834877809941</v>
      </c>
    </row>
    <row r="154" spans="1:4" x14ac:dyDescent="0.25">
      <c r="A154" s="62">
        <v>46044</v>
      </c>
      <c r="B154" s="60">
        <v>13.366514932512931</v>
      </c>
      <c r="C154" s="61">
        <v>562</v>
      </c>
      <c r="D154" s="60">
        <v>-2.4195992215225508</v>
      </c>
    </row>
    <row r="155" spans="1:4" x14ac:dyDescent="0.25">
      <c r="A155" s="62">
        <v>46043</v>
      </c>
      <c r="B155" s="60">
        <v>11.50254891165519</v>
      </c>
      <c r="C155" s="61">
        <v>743</v>
      </c>
      <c r="D155" s="60">
        <v>-2.8161737968856202</v>
      </c>
    </row>
    <row r="156" spans="1:4" x14ac:dyDescent="0.25">
      <c r="A156" s="62">
        <v>46042</v>
      </c>
      <c r="B156" s="60">
        <v>12.669986942083447</v>
      </c>
      <c r="C156" s="61">
        <v>763</v>
      </c>
      <c r="D156" s="60">
        <v>-2.222719210164434</v>
      </c>
    </row>
    <row r="157" spans="1:4" x14ac:dyDescent="0.25">
      <c r="A157" s="62">
        <v>46041</v>
      </c>
      <c r="B157" s="60">
        <v>15.614919978612305</v>
      </c>
      <c r="C157" s="61">
        <v>722</v>
      </c>
      <c r="D157" s="60">
        <v>-1.887737185282153</v>
      </c>
    </row>
    <row r="158" spans="1:4" x14ac:dyDescent="0.25">
      <c r="A158" s="62">
        <v>46038</v>
      </c>
      <c r="B158" s="60">
        <v>16.880887367140051</v>
      </c>
      <c r="C158" s="61">
        <v>376</v>
      </c>
      <c r="D158" s="60">
        <v>-1.7227281834318804</v>
      </c>
    </row>
    <row r="159" spans="1:4" x14ac:dyDescent="0.25">
      <c r="A159" s="62">
        <v>46037</v>
      </c>
      <c r="B159" s="63" t="s">
        <v>108</v>
      </c>
      <c r="C159" s="63" t="s">
        <v>108</v>
      </c>
      <c r="D159" s="60">
        <v>-1.0656891093183996</v>
      </c>
    </row>
    <row r="160" spans="1:4" x14ac:dyDescent="0.25">
      <c r="A160" s="62">
        <v>46036</v>
      </c>
      <c r="B160" s="60">
        <v>18.831007077930213</v>
      </c>
      <c r="C160" s="61">
        <v>320</v>
      </c>
      <c r="D160" s="60">
        <v>-0.88262511362148344</v>
      </c>
    </row>
    <row r="161" spans="1:4" x14ac:dyDescent="0.25">
      <c r="A161" s="62">
        <v>46035</v>
      </c>
      <c r="B161" s="60">
        <v>20.178368284018404</v>
      </c>
      <c r="C161" s="61">
        <v>752</v>
      </c>
      <c r="D161" s="60">
        <v>-1.1292518049197922</v>
      </c>
    </row>
    <row r="162" spans="1:4" x14ac:dyDescent="0.25">
      <c r="A162" s="62">
        <v>46034</v>
      </c>
      <c r="B162" s="60">
        <v>19.505005005799113</v>
      </c>
      <c r="C162" s="61">
        <v>883</v>
      </c>
      <c r="D162" s="60">
        <v>-0.75146690871673694</v>
      </c>
    </row>
    <row r="163" spans="1:4" x14ac:dyDescent="0.25">
      <c r="A163" s="62">
        <v>46031</v>
      </c>
      <c r="B163" s="60">
        <v>20.591842530728947</v>
      </c>
      <c r="C163" s="61">
        <v>2700</v>
      </c>
      <c r="D163" s="60">
        <v>-1.6883578764942231</v>
      </c>
    </row>
    <row r="164" spans="1:4" x14ac:dyDescent="0.25">
      <c r="A164" s="62">
        <v>46030</v>
      </c>
      <c r="B164" s="60">
        <v>22.660007076343597</v>
      </c>
      <c r="C164" s="61">
        <v>854</v>
      </c>
      <c r="D164" s="60">
        <v>-1.4459056021138914</v>
      </c>
    </row>
    <row r="165" spans="1:4" x14ac:dyDescent="0.25">
      <c r="A165" s="62">
        <v>46029</v>
      </c>
      <c r="B165" s="60">
        <v>24.209662858239891</v>
      </c>
      <c r="C165" s="61">
        <v>1311</v>
      </c>
      <c r="D165" s="60">
        <v>-0.71341911561919136</v>
      </c>
    </row>
    <row r="166" spans="1:4" x14ac:dyDescent="0.25">
      <c r="A166" s="62">
        <v>46028</v>
      </c>
      <c r="B166" s="60">
        <v>23.635939575006851</v>
      </c>
      <c r="C166" s="61">
        <v>1581</v>
      </c>
      <c r="D166" s="60">
        <v>-0.8117626595832369</v>
      </c>
    </row>
    <row r="167" spans="1:4" x14ac:dyDescent="0.25">
      <c r="A167" s="62">
        <v>46027</v>
      </c>
      <c r="B167" s="60">
        <v>24.359281513131698</v>
      </c>
      <c r="C167" s="61">
        <v>2506</v>
      </c>
      <c r="D167" s="60">
        <v>-1.5849629196811263</v>
      </c>
    </row>
    <row r="168" spans="1:4" x14ac:dyDescent="0.25">
      <c r="A168" s="62">
        <v>46024</v>
      </c>
      <c r="B168" s="60">
        <v>25.283172740528258</v>
      </c>
      <c r="C168" s="61">
        <v>13080</v>
      </c>
      <c r="D168" s="60">
        <v>-2.1349521745025997</v>
      </c>
    </row>
    <row r="169" spans="1:4" x14ac:dyDescent="0.25">
      <c r="A169" s="62">
        <v>46023</v>
      </c>
      <c r="B169" s="60">
        <v>14.692932700164521</v>
      </c>
      <c r="C169" s="61">
        <v>134</v>
      </c>
      <c r="D169" s="60">
        <v>-2.1258975718545532</v>
      </c>
    </row>
    <row r="170" spans="1:4" x14ac:dyDescent="0.25">
      <c r="A170" s="62">
        <v>46022</v>
      </c>
      <c r="B170" s="60">
        <v>14.396709976216497</v>
      </c>
      <c r="C170" s="61">
        <v>280</v>
      </c>
      <c r="D170" s="60">
        <v>-1.6821914337023975</v>
      </c>
    </row>
    <row r="171" spans="1:4" x14ac:dyDescent="0.25">
      <c r="A171" s="62">
        <v>46021</v>
      </c>
      <c r="B171" s="60">
        <v>12.865617696570821</v>
      </c>
      <c r="C171" s="61">
        <v>615</v>
      </c>
      <c r="D171" s="60">
        <v>-1.6190816774669468</v>
      </c>
    </row>
    <row r="172" spans="1:4" x14ac:dyDescent="0.25">
      <c r="A172" s="62">
        <v>46020</v>
      </c>
      <c r="B172" s="60">
        <v>13.107736537890965</v>
      </c>
      <c r="C172" s="61">
        <v>132</v>
      </c>
      <c r="D172" s="60">
        <v>-1.3929274777300324</v>
      </c>
    </row>
    <row r="173" spans="1:4" x14ac:dyDescent="0.25">
      <c r="A173" s="62">
        <v>46017</v>
      </c>
      <c r="B173" s="60">
        <v>13.704624533334178</v>
      </c>
      <c r="C173" s="61">
        <v>121</v>
      </c>
      <c r="D173" s="60">
        <v>-0.72022679618718999</v>
      </c>
    </row>
    <row r="174" spans="1:4" x14ac:dyDescent="0.25">
      <c r="A174" s="62">
        <v>46016</v>
      </c>
      <c r="B174" s="63" t="s">
        <v>108</v>
      </c>
      <c r="C174" s="63" t="s">
        <v>108</v>
      </c>
      <c r="D174" s="60">
        <v>-0.86096079657891855</v>
      </c>
    </row>
    <row r="175" spans="1:4" x14ac:dyDescent="0.25">
      <c r="A175" s="62">
        <v>46015</v>
      </c>
      <c r="B175" s="60">
        <v>14.848897851552266</v>
      </c>
      <c r="C175" s="61">
        <v>501</v>
      </c>
      <c r="D175" s="60">
        <v>-0.84160555901282919</v>
      </c>
    </row>
    <row r="176" spans="1:4" x14ac:dyDescent="0.25">
      <c r="A176" s="62">
        <v>46014</v>
      </c>
      <c r="B176" s="60">
        <v>15.216518661079624</v>
      </c>
      <c r="C176" s="61">
        <v>532</v>
      </c>
      <c r="D176" s="60">
        <v>-0.77034810401459108</v>
      </c>
    </row>
    <row r="177" spans="1:4" x14ac:dyDescent="0.25">
      <c r="A177" s="62">
        <v>46013</v>
      </c>
      <c r="B177" s="60">
        <v>14.694836649113322</v>
      </c>
      <c r="C177" s="61">
        <v>1526</v>
      </c>
      <c r="D177" s="60">
        <v>-0.77259346009870933</v>
      </c>
    </row>
    <row r="178" spans="1:4" x14ac:dyDescent="0.25">
      <c r="A178" s="62">
        <v>46010</v>
      </c>
      <c r="B178" s="60">
        <v>14.322455967213987</v>
      </c>
      <c r="C178" s="61">
        <v>373</v>
      </c>
      <c r="D178" s="60">
        <v>-0.97936734989242691</v>
      </c>
    </row>
    <row r="179" spans="1:4" x14ac:dyDescent="0.25">
      <c r="A179" s="62">
        <v>46009</v>
      </c>
      <c r="B179" s="60">
        <v>13.445687476299804</v>
      </c>
      <c r="C179" s="61">
        <v>106</v>
      </c>
      <c r="D179" s="60">
        <v>-2.1014797493816832</v>
      </c>
    </row>
    <row r="180" spans="1:4" x14ac:dyDescent="0.25">
      <c r="A180" s="62">
        <v>46008</v>
      </c>
      <c r="B180" s="60">
        <v>14.115242856621538</v>
      </c>
      <c r="C180" s="61">
        <v>200</v>
      </c>
      <c r="D180" s="60">
        <v>-2.081854749729648</v>
      </c>
    </row>
    <row r="181" spans="1:4" x14ac:dyDescent="0.25">
      <c r="A181" s="62">
        <v>46007</v>
      </c>
      <c r="B181" s="60">
        <v>14.812722821525401</v>
      </c>
      <c r="C181" s="61">
        <v>537</v>
      </c>
      <c r="D181" s="60">
        <v>-2.5097985003324248</v>
      </c>
    </row>
    <row r="182" spans="1:4" x14ac:dyDescent="0.25">
      <c r="A182" s="62">
        <v>46006</v>
      </c>
      <c r="B182" s="60">
        <v>15.45943081446176</v>
      </c>
      <c r="C182" s="61">
        <v>133</v>
      </c>
      <c r="D182" s="60">
        <v>-2.1620611776153953</v>
      </c>
    </row>
    <row r="183" spans="1:4" x14ac:dyDescent="0.25">
      <c r="A183" s="62">
        <v>46003</v>
      </c>
      <c r="B183" s="60">
        <v>16.460749299108802</v>
      </c>
      <c r="C183" s="61">
        <v>192</v>
      </c>
      <c r="D183" s="60">
        <v>-2.3596806150398617</v>
      </c>
    </row>
    <row r="184" spans="1:4" x14ac:dyDescent="0.25">
      <c r="A184" s="62">
        <v>46002</v>
      </c>
      <c r="B184" s="60">
        <v>17.147916207206755</v>
      </c>
      <c r="C184" s="61">
        <v>184</v>
      </c>
      <c r="D184" s="60">
        <v>-2.9148775583553337</v>
      </c>
    </row>
    <row r="185" spans="1:4" x14ac:dyDescent="0.25">
      <c r="A185" s="62">
        <v>46001</v>
      </c>
      <c r="B185" s="60">
        <v>15.45435361726501</v>
      </c>
      <c r="C185" s="61">
        <v>207</v>
      </c>
      <c r="D185" s="60">
        <v>-2.6422909172262581</v>
      </c>
    </row>
    <row r="186" spans="1:4" x14ac:dyDescent="0.25">
      <c r="A186" s="62">
        <v>46000</v>
      </c>
      <c r="B186" s="60">
        <v>16.742375081116165</v>
      </c>
      <c r="C186" s="61">
        <v>481</v>
      </c>
      <c r="D186" s="60">
        <v>-2.5508023051615707</v>
      </c>
    </row>
    <row r="187" spans="1:4" x14ac:dyDescent="0.25">
      <c r="A187" s="62">
        <v>45999</v>
      </c>
      <c r="B187" s="60">
        <v>16.10931205564609</v>
      </c>
      <c r="C187" s="61">
        <v>180</v>
      </c>
      <c r="D187" s="60">
        <v>-2.3141427527305924</v>
      </c>
    </row>
    <row r="188" spans="1:4" x14ac:dyDescent="0.25">
      <c r="A188" s="62">
        <v>45996</v>
      </c>
      <c r="B188" s="60">
        <v>17.066681052058719</v>
      </c>
      <c r="C188" s="61">
        <v>3140</v>
      </c>
      <c r="D188" s="60">
        <v>-1.2217450834785271</v>
      </c>
    </row>
    <row r="189" spans="1:4" x14ac:dyDescent="0.25">
      <c r="A189" s="62">
        <v>45995</v>
      </c>
      <c r="B189" s="60">
        <v>16.968786343608844</v>
      </c>
      <c r="C189" s="61">
        <v>683</v>
      </c>
      <c r="D189" s="60">
        <v>-1.2113064898861594</v>
      </c>
    </row>
    <row r="190" spans="1:4" x14ac:dyDescent="0.25">
      <c r="A190" s="62">
        <v>45994</v>
      </c>
      <c r="B190" s="60">
        <v>16.189595236319722</v>
      </c>
      <c r="C190" s="61">
        <v>272</v>
      </c>
      <c r="D190" s="60">
        <v>-1.1883468357430762</v>
      </c>
    </row>
    <row r="191" spans="1:4" x14ac:dyDescent="0.25">
      <c r="A191" s="62">
        <v>45993</v>
      </c>
      <c r="B191" s="60">
        <v>16.373484972289617</v>
      </c>
      <c r="C191" s="61">
        <v>517</v>
      </c>
      <c r="D191" s="60">
        <v>-0.32421847714527768</v>
      </c>
    </row>
    <row r="192" spans="1:4" x14ac:dyDescent="0.25">
      <c r="A192" s="62">
        <v>45992</v>
      </c>
      <c r="B192" s="60">
        <v>15.703612267143065</v>
      </c>
      <c r="C192" s="61">
        <v>338</v>
      </c>
      <c r="D192" s="60">
        <v>-4.9693387370668037E-2</v>
      </c>
    </row>
    <row r="193" spans="1:4" x14ac:dyDescent="0.25">
      <c r="A193" s="62">
        <v>45989</v>
      </c>
      <c r="B193" s="60">
        <v>14.516658759989784</v>
      </c>
      <c r="C193" s="61">
        <v>192</v>
      </c>
      <c r="D193" s="60">
        <v>-0.22812362068618713</v>
      </c>
    </row>
    <row r="194" spans="1:4" x14ac:dyDescent="0.25">
      <c r="A194" s="62">
        <v>45988</v>
      </c>
      <c r="B194" s="60">
        <v>15.241111335001392</v>
      </c>
      <c r="C194" s="61">
        <v>296</v>
      </c>
      <c r="D194" s="60">
        <v>-7.3740382025194756E-2</v>
      </c>
    </row>
    <row r="195" spans="1:4" x14ac:dyDescent="0.25">
      <c r="A195" s="62">
        <v>45987</v>
      </c>
      <c r="B195" s="60">
        <v>15.844980476590152</v>
      </c>
      <c r="C195" s="61">
        <v>309</v>
      </c>
      <c r="D195" s="60">
        <v>-5.1714625541349014E-2</v>
      </c>
    </row>
    <row r="196" spans="1:4" x14ac:dyDescent="0.25">
      <c r="A196" s="62">
        <v>45986</v>
      </c>
      <c r="B196" s="60">
        <v>13.47139078710836</v>
      </c>
      <c r="C196" s="61">
        <v>374</v>
      </c>
      <c r="D196" s="60">
        <v>-0.39096485176379309</v>
      </c>
    </row>
    <row r="197" spans="1:4" x14ac:dyDescent="0.25">
      <c r="A197" s="62">
        <v>45985</v>
      </c>
      <c r="B197" s="60">
        <v>14.839695431633148</v>
      </c>
      <c r="C197" s="61">
        <v>366</v>
      </c>
      <c r="D197" s="60">
        <v>-0.48314308988591365</v>
      </c>
    </row>
    <row r="198" spans="1:4" x14ac:dyDescent="0.25">
      <c r="A198" s="62">
        <v>45982</v>
      </c>
      <c r="B198" s="60">
        <v>15.904954868476795</v>
      </c>
      <c r="C198" s="61">
        <v>248</v>
      </c>
      <c r="D198" s="60">
        <v>-0.56074816082061085</v>
      </c>
    </row>
    <row r="199" spans="1:4" x14ac:dyDescent="0.25">
      <c r="A199" s="62">
        <v>45981</v>
      </c>
      <c r="B199" s="60">
        <v>17.6354858005074</v>
      </c>
      <c r="C199" s="61">
        <v>160</v>
      </c>
      <c r="D199" s="60">
        <v>0.64481417306330846</v>
      </c>
    </row>
    <row r="200" spans="1:4" x14ac:dyDescent="0.25">
      <c r="A200" s="62">
        <v>45980</v>
      </c>
      <c r="B200" s="60">
        <v>17.011466532544034</v>
      </c>
      <c r="C200" s="61">
        <v>132</v>
      </c>
      <c r="D200" s="60">
        <v>0.85275724627665472</v>
      </c>
    </row>
    <row r="201" spans="1:4" x14ac:dyDescent="0.25">
      <c r="A201" s="62">
        <v>45979</v>
      </c>
      <c r="B201" s="60">
        <v>17.512205106073758</v>
      </c>
      <c r="C201" s="61">
        <v>332</v>
      </c>
      <c r="D201" s="60">
        <v>0.76904452608223972</v>
      </c>
    </row>
    <row r="202" spans="1:4" x14ac:dyDescent="0.25">
      <c r="A202" s="62">
        <v>45978</v>
      </c>
      <c r="B202" s="60">
        <v>18.728828484345581</v>
      </c>
      <c r="C202" s="61">
        <v>196</v>
      </c>
      <c r="D202" s="60">
        <v>1.699081924666318</v>
      </c>
    </row>
    <row r="203" spans="1:4" x14ac:dyDescent="0.25">
      <c r="A203" s="62">
        <v>45975</v>
      </c>
      <c r="B203" s="60">
        <v>17.250729450441</v>
      </c>
      <c r="C203" s="61">
        <v>869</v>
      </c>
      <c r="D203" s="60">
        <v>1.702002022659983</v>
      </c>
    </row>
    <row r="204" spans="1:4" x14ac:dyDescent="0.25">
      <c r="A204" s="62">
        <v>45974</v>
      </c>
      <c r="B204" s="60">
        <v>18.479569834467501</v>
      </c>
      <c r="C204" s="61">
        <v>273</v>
      </c>
      <c r="D204" s="60">
        <v>1.7860549338726641</v>
      </c>
    </row>
    <row r="205" spans="1:4" x14ac:dyDescent="0.25">
      <c r="A205" s="62">
        <v>45973</v>
      </c>
      <c r="B205" s="60">
        <v>18.173192716125961</v>
      </c>
      <c r="C205" s="61">
        <v>780</v>
      </c>
      <c r="D205" s="60">
        <v>1.8679543838537849</v>
      </c>
    </row>
    <row r="206" spans="1:4" x14ac:dyDescent="0.25">
      <c r="A206" s="62">
        <v>45972</v>
      </c>
      <c r="B206" s="60">
        <v>16.335405993313973</v>
      </c>
      <c r="C206" s="61">
        <v>790</v>
      </c>
      <c r="D206" s="60">
        <v>1.2713374355308888</v>
      </c>
    </row>
    <row r="207" spans="1:4" x14ac:dyDescent="0.25">
      <c r="A207" s="62">
        <v>45971</v>
      </c>
      <c r="B207" s="60">
        <v>18.231421821476232</v>
      </c>
      <c r="C207" s="61">
        <v>596</v>
      </c>
      <c r="D207" s="60">
        <v>1.0383780547583246</v>
      </c>
    </row>
    <row r="208" spans="1:4" x14ac:dyDescent="0.25">
      <c r="A208" s="62">
        <v>45968</v>
      </c>
      <c r="B208" s="60">
        <v>16.849313547072754</v>
      </c>
      <c r="C208" s="61">
        <v>418</v>
      </c>
      <c r="D208" s="60">
        <v>-7.5402102904396875E-2</v>
      </c>
    </row>
    <row r="209" spans="1:4" x14ac:dyDescent="0.25">
      <c r="A209" s="62">
        <v>45967</v>
      </c>
      <c r="B209" s="60">
        <v>17.496497527246291</v>
      </c>
      <c r="C209" s="61">
        <v>726</v>
      </c>
      <c r="D209" s="60">
        <v>0.28077814215015279</v>
      </c>
    </row>
    <row r="210" spans="1:4" x14ac:dyDescent="0.25">
      <c r="A210" s="62">
        <v>45966</v>
      </c>
      <c r="B210" s="63" t="s">
        <v>108</v>
      </c>
      <c r="C210" s="63" t="s">
        <v>108</v>
      </c>
      <c r="D210" s="60">
        <v>3.8924202806545405E-2</v>
      </c>
    </row>
    <row r="211" spans="1:4" x14ac:dyDescent="0.25">
      <c r="A211" s="62">
        <v>45965</v>
      </c>
      <c r="B211" s="60">
        <v>20.129976248236858</v>
      </c>
      <c r="C211" s="61">
        <v>625</v>
      </c>
      <c r="D211" s="60">
        <v>9.1899923015998905E-2</v>
      </c>
    </row>
    <row r="212" spans="1:4" x14ac:dyDescent="0.25">
      <c r="A212" s="62">
        <v>45964</v>
      </c>
      <c r="B212" s="60">
        <v>17.462385108580609</v>
      </c>
      <c r="C212" s="61">
        <v>658</v>
      </c>
      <c r="D212" s="60">
        <v>0.82590300672107753</v>
      </c>
    </row>
    <row r="213" spans="1:4" x14ac:dyDescent="0.25">
      <c r="A213" s="62">
        <v>45961</v>
      </c>
      <c r="B213" s="60">
        <v>18.207305134791643</v>
      </c>
      <c r="C213" s="61">
        <v>445</v>
      </c>
      <c r="D213" s="60">
        <v>0.45725773827498423</v>
      </c>
    </row>
    <row r="214" spans="1:4" x14ac:dyDescent="0.25">
      <c r="A214" s="62">
        <v>45960</v>
      </c>
      <c r="B214" s="60">
        <v>18.052609282703088</v>
      </c>
      <c r="C214" s="61">
        <v>520</v>
      </c>
      <c r="D214" s="60">
        <v>0.62230034125623723</v>
      </c>
    </row>
    <row r="215" spans="1:4" x14ac:dyDescent="0.25">
      <c r="A215" s="62">
        <v>45959</v>
      </c>
      <c r="B215" s="60">
        <v>18.617130146017011</v>
      </c>
      <c r="C215" s="61">
        <v>7391</v>
      </c>
      <c r="D215" s="60">
        <v>1.5820077238958368</v>
      </c>
    </row>
    <row r="216" spans="1:4" x14ac:dyDescent="0.25">
      <c r="A216" s="62">
        <v>45958</v>
      </c>
      <c r="B216" s="60">
        <v>22.216545633689744</v>
      </c>
      <c r="C216" s="61">
        <v>353</v>
      </c>
      <c r="D216" s="60">
        <v>1.2706681480978084</v>
      </c>
    </row>
    <row r="217" spans="1:4" x14ac:dyDescent="0.25">
      <c r="A217" s="62">
        <v>45957</v>
      </c>
      <c r="B217" s="60">
        <v>23.747796575747802</v>
      </c>
      <c r="C217" s="61">
        <v>283</v>
      </c>
      <c r="D217" s="60">
        <v>1.8251921782262426</v>
      </c>
    </row>
    <row r="218" spans="1:4" x14ac:dyDescent="0.25">
      <c r="A218" s="62">
        <v>45954</v>
      </c>
      <c r="B218" s="60">
        <v>22.601777970993346</v>
      </c>
      <c r="C218" s="61">
        <v>1130</v>
      </c>
      <c r="D218" s="60">
        <v>1.8497344357956869</v>
      </c>
    </row>
    <row r="219" spans="1:4" x14ac:dyDescent="0.25">
      <c r="A219" s="62">
        <v>45953</v>
      </c>
      <c r="B219" s="60">
        <v>23.610236264198296</v>
      </c>
      <c r="C219" s="61">
        <v>200</v>
      </c>
      <c r="D219" s="60">
        <v>2.3938072867724389</v>
      </c>
    </row>
    <row r="220" spans="1:4" x14ac:dyDescent="0.25">
      <c r="A220" s="62">
        <v>45952</v>
      </c>
      <c r="B220" s="63" t="s">
        <v>108</v>
      </c>
      <c r="C220" s="63" t="s">
        <v>108</v>
      </c>
      <c r="D220" s="60">
        <v>2.1920744030439527</v>
      </c>
    </row>
    <row r="221" spans="1:4" x14ac:dyDescent="0.25">
      <c r="A221" s="62">
        <v>45951</v>
      </c>
      <c r="B221" s="60">
        <v>24.376575716083124</v>
      </c>
      <c r="C221" s="61">
        <v>69</v>
      </c>
      <c r="D221" s="60">
        <v>2.5426624315003834</v>
      </c>
    </row>
    <row r="222" spans="1:4" x14ac:dyDescent="0.25">
      <c r="A222" s="62">
        <v>45950</v>
      </c>
      <c r="B222" s="60">
        <v>24.412909408522399</v>
      </c>
      <c r="C222" s="61">
        <v>471</v>
      </c>
      <c r="D222" s="60">
        <v>2.4411205790879871</v>
      </c>
    </row>
    <row r="223" spans="1:4" x14ac:dyDescent="0.25">
      <c r="A223" s="62">
        <v>45947</v>
      </c>
      <c r="B223" s="60">
        <v>22.949565978970888</v>
      </c>
      <c r="C223" s="61">
        <v>356</v>
      </c>
      <c r="D223" s="60">
        <v>2.0782081240667041</v>
      </c>
    </row>
    <row r="224" spans="1:4" x14ac:dyDescent="0.25">
      <c r="A224" s="62">
        <v>45946</v>
      </c>
      <c r="B224" s="60">
        <v>22.251134039592625</v>
      </c>
      <c r="C224" s="61">
        <v>180</v>
      </c>
      <c r="D224" s="60">
        <v>2.6864081177135928</v>
      </c>
    </row>
    <row r="225" spans="1:4" x14ac:dyDescent="0.25">
      <c r="A225" s="62">
        <v>45945</v>
      </c>
      <c r="B225" s="60">
        <v>21.733418587936264</v>
      </c>
      <c r="C225" s="61">
        <v>172</v>
      </c>
      <c r="D225" s="60">
        <v>1.8401021798341226</v>
      </c>
    </row>
    <row r="226" spans="1:4" x14ac:dyDescent="0.25">
      <c r="A226" s="62">
        <v>45944</v>
      </c>
      <c r="B226" s="60">
        <v>20.608343421618379</v>
      </c>
      <c r="C226" s="61">
        <v>614</v>
      </c>
      <c r="D226" s="60">
        <v>0.32373251998220881</v>
      </c>
    </row>
    <row r="227" spans="1:4" x14ac:dyDescent="0.25">
      <c r="A227" s="62">
        <v>45943</v>
      </c>
      <c r="B227" s="60">
        <v>22.174976081641336</v>
      </c>
      <c r="C227" s="61">
        <v>173</v>
      </c>
      <c r="D227" s="60">
        <v>0.87196476754191232</v>
      </c>
    </row>
    <row r="228" spans="1:4" x14ac:dyDescent="0.25">
      <c r="A228" s="62">
        <v>45940</v>
      </c>
      <c r="B228" s="60">
        <v>22.527523961990834</v>
      </c>
      <c r="C228" s="61">
        <v>203</v>
      </c>
      <c r="D228" s="60">
        <v>1.454125868933257</v>
      </c>
    </row>
    <row r="229" spans="1:4" x14ac:dyDescent="0.25">
      <c r="A229" s="62">
        <v>45939</v>
      </c>
      <c r="B229" s="60">
        <v>22.054392648218467</v>
      </c>
      <c r="C229" s="61">
        <v>395</v>
      </c>
      <c r="D229" s="60">
        <v>1.3795418432191286</v>
      </c>
    </row>
    <row r="230" spans="1:4" x14ac:dyDescent="0.25">
      <c r="A230" s="62">
        <v>45938</v>
      </c>
      <c r="B230" s="60">
        <v>21.57729477413611</v>
      </c>
      <c r="C230" s="61">
        <v>304</v>
      </c>
      <c r="D230" s="60">
        <v>1.3461605260769844</v>
      </c>
    </row>
    <row r="231" spans="1:4" x14ac:dyDescent="0.25">
      <c r="A231" s="62">
        <v>45937</v>
      </c>
      <c r="B231" s="60">
        <v>23.056504444927477</v>
      </c>
      <c r="C231" s="61">
        <v>781</v>
      </c>
      <c r="D231" s="60">
        <v>1.4255520137636271</v>
      </c>
    </row>
    <row r="232" spans="1:4" x14ac:dyDescent="0.25">
      <c r="A232" s="62">
        <v>45936</v>
      </c>
      <c r="B232" s="60">
        <v>23.211834946665636</v>
      </c>
      <c r="C232" s="61">
        <v>786</v>
      </c>
      <c r="D232" s="60">
        <v>1.6240510921961748</v>
      </c>
    </row>
    <row r="233" spans="1:4" x14ac:dyDescent="0.25">
      <c r="A233" s="62">
        <v>45933</v>
      </c>
      <c r="B233" s="60">
        <v>22.500710014295471</v>
      </c>
      <c r="C233" s="61">
        <v>756</v>
      </c>
      <c r="D233" s="60">
        <v>2.1342081179802816</v>
      </c>
    </row>
    <row r="234" spans="1:4" x14ac:dyDescent="0.25">
      <c r="A234" s="62">
        <v>45932</v>
      </c>
      <c r="B234" s="63" t="s">
        <v>108</v>
      </c>
      <c r="C234" s="63" t="s">
        <v>108</v>
      </c>
      <c r="D234" s="60">
        <v>2.178863429285931</v>
      </c>
    </row>
    <row r="235" spans="1:4" x14ac:dyDescent="0.25">
      <c r="A235" s="62">
        <v>45931</v>
      </c>
      <c r="B235" s="60">
        <v>21.655198018623789</v>
      </c>
      <c r="C235" s="61">
        <v>239</v>
      </c>
      <c r="D235" s="60">
        <v>2.1160810766341922</v>
      </c>
    </row>
    <row r="236" spans="1:4" x14ac:dyDescent="0.25">
      <c r="A236" s="62">
        <v>45930</v>
      </c>
      <c r="B236" s="60">
        <v>21.156522056455252</v>
      </c>
      <c r="C236" s="61">
        <v>843</v>
      </c>
      <c r="D236" s="60">
        <v>1.9238485539695456</v>
      </c>
    </row>
    <row r="237" spans="1:4" x14ac:dyDescent="0.25">
      <c r="A237" s="62">
        <v>45929</v>
      </c>
      <c r="B237" s="60">
        <v>21.652342095200613</v>
      </c>
      <c r="C237" s="61">
        <v>1248</v>
      </c>
      <c r="D237" s="60">
        <v>2.1053782873068485</v>
      </c>
    </row>
    <row r="238" spans="1:4" x14ac:dyDescent="0.25">
      <c r="A238" s="62">
        <v>45926</v>
      </c>
      <c r="B238" s="60">
        <v>21.093215753908254</v>
      </c>
      <c r="C238" s="61">
        <v>223</v>
      </c>
      <c r="D238" s="60">
        <v>1.4148350228846829</v>
      </c>
    </row>
    <row r="239" spans="1:4" x14ac:dyDescent="0.25">
      <c r="A239" s="62">
        <v>45925</v>
      </c>
      <c r="B239" s="60">
        <v>22.16291773829904</v>
      </c>
      <c r="C239" s="61">
        <v>516</v>
      </c>
      <c r="D239" s="60">
        <v>1.8568422900812156</v>
      </c>
    </row>
    <row r="240" spans="1:4" x14ac:dyDescent="0.25">
      <c r="A240" s="62">
        <v>45924</v>
      </c>
      <c r="B240" s="60">
        <v>22.983202410399365</v>
      </c>
      <c r="C240" s="61">
        <v>645</v>
      </c>
      <c r="D240" s="60">
        <v>2.5678711515957908</v>
      </c>
    </row>
    <row r="241" spans="1:4" x14ac:dyDescent="0.25">
      <c r="A241" s="62">
        <v>45923</v>
      </c>
      <c r="B241" s="60">
        <v>25.026774282092244</v>
      </c>
      <c r="C241" s="61">
        <v>327</v>
      </c>
      <c r="D241" s="60">
        <v>2.6471945073917311</v>
      </c>
    </row>
    <row r="242" spans="1:4" x14ac:dyDescent="0.25">
      <c r="A242" s="62">
        <v>45922</v>
      </c>
      <c r="B242" s="60">
        <v>25.516723811578867</v>
      </c>
      <c r="C242" s="61">
        <v>672</v>
      </c>
      <c r="D242" s="60">
        <v>4.0925941379765964</v>
      </c>
    </row>
    <row r="243" spans="1:4" x14ac:dyDescent="0.25">
      <c r="A243" s="62">
        <v>45919</v>
      </c>
      <c r="B243" s="60">
        <v>26.252758742695573</v>
      </c>
      <c r="C243" s="61">
        <v>481</v>
      </c>
      <c r="D243" s="60">
        <v>4.8819180782144604</v>
      </c>
    </row>
    <row r="244" spans="1:4" x14ac:dyDescent="0.25">
      <c r="A244" s="62">
        <v>45918</v>
      </c>
      <c r="B244" s="60">
        <v>26.49233898541733</v>
      </c>
      <c r="C244" s="61">
        <v>661</v>
      </c>
      <c r="D244" s="60">
        <v>5.0144055707426611</v>
      </c>
    </row>
    <row r="245" spans="1:4" x14ac:dyDescent="0.25">
      <c r="A245" s="62">
        <v>45917</v>
      </c>
      <c r="B245" s="60">
        <v>26.286077849299261</v>
      </c>
      <c r="C245" s="61">
        <v>258</v>
      </c>
      <c r="D245" s="60">
        <v>5.6938706589921466</v>
      </c>
    </row>
    <row r="246" spans="1:4" x14ac:dyDescent="0.25">
      <c r="A246" s="62">
        <v>45916</v>
      </c>
      <c r="B246" s="60">
        <v>26.484247202385021</v>
      </c>
      <c r="C246" s="61">
        <v>696</v>
      </c>
      <c r="D246" s="60">
        <v>5.3663404897707609</v>
      </c>
    </row>
    <row r="247" spans="1:4" x14ac:dyDescent="0.25">
      <c r="A247" s="62">
        <v>45915</v>
      </c>
      <c r="B247" s="60">
        <v>24.879376900974034</v>
      </c>
      <c r="C247" s="61">
        <v>573</v>
      </c>
      <c r="D247" s="60">
        <v>5.5585838110626611</v>
      </c>
    </row>
    <row r="248" spans="1:4" x14ac:dyDescent="0.25">
      <c r="A248" s="62">
        <v>45912</v>
      </c>
      <c r="B248" s="60">
        <v>26.546601530457618</v>
      </c>
      <c r="C248" s="61">
        <v>612</v>
      </c>
      <c r="D248" s="60">
        <v>5.4046997971691431</v>
      </c>
    </row>
    <row r="249" spans="1:4" x14ac:dyDescent="0.25">
      <c r="A249" s="62">
        <v>45911</v>
      </c>
      <c r="B249" s="60">
        <v>28.977468350815283</v>
      </c>
      <c r="C249" s="61">
        <v>738</v>
      </c>
      <c r="D249" s="60">
        <v>5.7230649283070001</v>
      </c>
    </row>
    <row r="250" spans="1:4" x14ac:dyDescent="0.25">
      <c r="A250" s="62">
        <v>45910</v>
      </c>
      <c r="B250" s="60">
        <v>30.111428612227471</v>
      </c>
      <c r="C250" s="61">
        <v>604</v>
      </c>
      <c r="D250" s="60">
        <v>5.5893201195007016</v>
      </c>
    </row>
    <row r="251" spans="1:4" x14ac:dyDescent="0.25">
      <c r="A251" s="62">
        <v>45909</v>
      </c>
      <c r="B251" s="60">
        <v>31.686787704932346</v>
      </c>
      <c r="C251" s="61">
        <v>1019</v>
      </c>
      <c r="D251" s="60">
        <v>5.2212691486922598</v>
      </c>
    </row>
    <row r="252" spans="1:4" x14ac:dyDescent="0.25">
      <c r="A252" s="62">
        <v>45908</v>
      </c>
      <c r="B252" s="60">
        <v>31.282039890903722</v>
      </c>
      <c r="C252" s="61">
        <v>3306</v>
      </c>
      <c r="D252" s="60">
        <v>4.3830962994882636</v>
      </c>
    </row>
    <row r="253" spans="1:4" x14ac:dyDescent="0.25">
      <c r="A253" s="62">
        <v>45905</v>
      </c>
      <c r="B253" s="60">
        <v>29.799498309452002</v>
      </c>
      <c r="C253" s="61">
        <v>431</v>
      </c>
      <c r="D253" s="60">
        <v>3.8055285588144727</v>
      </c>
    </row>
    <row r="254" spans="1:4" x14ac:dyDescent="0.25">
      <c r="A254" s="62">
        <v>45904</v>
      </c>
      <c r="B254" s="60">
        <v>29.363969987418077</v>
      </c>
      <c r="C254" s="61">
        <v>736</v>
      </c>
      <c r="D254" s="60">
        <v>3.7719708670562788</v>
      </c>
    </row>
    <row r="255" spans="1:4" x14ac:dyDescent="0.25">
      <c r="A255" s="62">
        <v>45903</v>
      </c>
      <c r="B255" s="60">
        <v>30.472068275609299</v>
      </c>
      <c r="C255" s="61">
        <v>505</v>
      </c>
      <c r="D255" s="60">
        <v>3.7325160624535996</v>
      </c>
    </row>
    <row r="256" spans="1:4" x14ac:dyDescent="0.25">
      <c r="A256" s="62">
        <v>45902</v>
      </c>
      <c r="B256" s="60">
        <v>30.967570989529872</v>
      </c>
      <c r="C256" s="61">
        <v>766</v>
      </c>
      <c r="D256" s="60">
        <v>3.6470349997994593</v>
      </c>
    </row>
    <row r="257" spans="1:4" x14ac:dyDescent="0.25">
      <c r="A257" s="62">
        <v>45901</v>
      </c>
      <c r="B257" s="60">
        <v>29.358258140571721</v>
      </c>
      <c r="C257" s="61">
        <v>2470</v>
      </c>
      <c r="D257" s="60">
        <v>3.3177515828353736</v>
      </c>
    </row>
    <row r="258" spans="1:4" x14ac:dyDescent="0.25">
      <c r="A258" s="62">
        <v>45898</v>
      </c>
      <c r="B258" s="60">
        <v>26.902798646292286</v>
      </c>
      <c r="C258" s="61">
        <v>716</v>
      </c>
      <c r="D258" s="60">
        <v>2.974733156252606</v>
      </c>
    </row>
    <row r="259" spans="1:4" x14ac:dyDescent="0.25">
      <c r="A259" s="62">
        <v>45897</v>
      </c>
      <c r="B259" s="60">
        <v>24.382446225341866</v>
      </c>
      <c r="C259" s="61">
        <v>369</v>
      </c>
      <c r="D259" s="60">
        <v>2.675713979428219</v>
      </c>
    </row>
    <row r="260" spans="1:4" x14ac:dyDescent="0.25">
      <c r="A260" s="62">
        <v>45896</v>
      </c>
      <c r="B260" s="63" t="s">
        <v>108</v>
      </c>
      <c r="C260" s="63" t="s">
        <v>108</v>
      </c>
      <c r="D260" s="60">
        <v>3.2248674622977571</v>
      </c>
    </row>
    <row r="261" spans="1:4" x14ac:dyDescent="0.25">
      <c r="A261" s="62">
        <v>45895</v>
      </c>
      <c r="B261" s="60">
        <v>25.347431017549656</v>
      </c>
      <c r="C261" s="61">
        <v>589</v>
      </c>
      <c r="D261" s="60">
        <v>4.0131869005538894</v>
      </c>
    </row>
    <row r="262" spans="1:4" x14ac:dyDescent="0.25">
      <c r="A262" s="62">
        <v>45894</v>
      </c>
      <c r="B262" s="60">
        <v>24.066390699844028</v>
      </c>
      <c r="C262" s="61">
        <v>722</v>
      </c>
      <c r="D262" s="60">
        <v>4.0075198309218782</v>
      </c>
    </row>
    <row r="263" spans="1:4" x14ac:dyDescent="0.25">
      <c r="A263" s="62">
        <v>45891</v>
      </c>
      <c r="B263" s="60">
        <v>24.763394677510711</v>
      </c>
      <c r="C263" s="61">
        <v>495</v>
      </c>
      <c r="D263" s="60">
        <v>3.3142848625645365</v>
      </c>
    </row>
    <row r="264" spans="1:4" x14ac:dyDescent="0.25">
      <c r="A264" s="62">
        <v>45890</v>
      </c>
      <c r="B264" s="60">
        <v>25.378528850379752</v>
      </c>
      <c r="C264" s="61">
        <v>194</v>
      </c>
      <c r="D264" s="60">
        <v>3.7762958332039962</v>
      </c>
    </row>
    <row r="265" spans="1:4" x14ac:dyDescent="0.25">
      <c r="A265" s="62">
        <v>45889</v>
      </c>
      <c r="B265" s="60">
        <v>26.705263942856135</v>
      </c>
      <c r="C265" s="61">
        <v>409</v>
      </c>
      <c r="D265" s="60">
        <v>3.9223010592651422</v>
      </c>
    </row>
    <row r="266" spans="1:4" x14ac:dyDescent="0.25">
      <c r="A266" s="62">
        <v>45888</v>
      </c>
      <c r="B266" s="60">
        <v>26.506459940120813</v>
      </c>
      <c r="C266" s="61">
        <v>731</v>
      </c>
      <c r="D266" s="60">
        <v>2.9787378622734484</v>
      </c>
    </row>
    <row r="267" spans="1:4" x14ac:dyDescent="0.25">
      <c r="A267" s="62">
        <v>45887</v>
      </c>
      <c r="B267" s="60">
        <v>24.830667540367674</v>
      </c>
      <c r="C267" s="61">
        <v>996</v>
      </c>
      <c r="D267" s="60">
        <v>2.1836019793116965</v>
      </c>
    </row>
    <row r="268" spans="1:4" x14ac:dyDescent="0.25">
      <c r="A268" s="62">
        <v>45884</v>
      </c>
      <c r="B268" s="63" t="s">
        <v>108</v>
      </c>
      <c r="C268" s="63" t="s">
        <v>108</v>
      </c>
      <c r="D268" s="60">
        <v>1.250159309134266</v>
      </c>
    </row>
    <row r="269" spans="1:4" x14ac:dyDescent="0.25">
      <c r="A269" s="62">
        <v>45883</v>
      </c>
      <c r="B269" s="60">
        <v>22.508008485265812</v>
      </c>
      <c r="C269" s="61">
        <v>653</v>
      </c>
      <c r="D269" s="60">
        <v>1.117447836837842</v>
      </c>
    </row>
    <row r="270" spans="1:4" x14ac:dyDescent="0.25">
      <c r="A270" s="62">
        <v>45882</v>
      </c>
      <c r="B270" s="60">
        <v>22.607013830602476</v>
      </c>
      <c r="C270" s="61">
        <v>630</v>
      </c>
      <c r="D270" s="60">
        <v>1.3296124339159214</v>
      </c>
    </row>
    <row r="271" spans="1:4" x14ac:dyDescent="0.25">
      <c r="A271" s="62">
        <v>45881</v>
      </c>
      <c r="B271" s="60">
        <v>22.603047270292514</v>
      </c>
      <c r="C271" s="61">
        <v>430</v>
      </c>
      <c r="D271" s="60">
        <v>0.57608875419110039</v>
      </c>
    </row>
    <row r="272" spans="1:4" x14ac:dyDescent="0.25">
      <c r="A272" s="62">
        <v>45880</v>
      </c>
      <c r="B272" s="60">
        <v>22.817400189442917</v>
      </c>
      <c r="C272" s="61">
        <v>1065</v>
      </c>
      <c r="D272" s="60">
        <v>0.61776751765276838</v>
      </c>
    </row>
    <row r="273" spans="1:4" x14ac:dyDescent="0.25">
      <c r="A273" s="62">
        <v>45877</v>
      </c>
      <c r="B273" s="60">
        <v>21.62013362548371</v>
      </c>
      <c r="C273" s="61">
        <v>1139</v>
      </c>
      <c r="D273" s="60">
        <v>0.24625337928042529</v>
      </c>
    </row>
    <row r="274" spans="1:4" x14ac:dyDescent="0.25">
      <c r="A274" s="62">
        <v>45876</v>
      </c>
      <c r="B274" s="60">
        <v>22.533711796074368</v>
      </c>
      <c r="C274" s="61">
        <v>1702</v>
      </c>
      <c r="D274" s="60">
        <v>0.71968160181396645</v>
      </c>
    </row>
    <row r="275" spans="1:4" x14ac:dyDescent="0.25">
      <c r="A275" s="62">
        <v>45875</v>
      </c>
      <c r="B275" s="60">
        <v>21.447984908031319</v>
      </c>
      <c r="C275" s="61">
        <v>3350</v>
      </c>
      <c r="D275" s="60">
        <v>0.33315643606467721</v>
      </c>
    </row>
    <row r="276" spans="1:4" x14ac:dyDescent="0.25">
      <c r="A276" s="62">
        <v>45874</v>
      </c>
      <c r="B276" s="60">
        <v>28.793102627608214</v>
      </c>
      <c r="C276" s="61">
        <v>3311</v>
      </c>
      <c r="D276" s="60">
        <v>0.60591104946501173</v>
      </c>
    </row>
    <row r="277" spans="1:4" x14ac:dyDescent="0.25">
      <c r="A277" s="62">
        <v>45873</v>
      </c>
      <c r="B277" s="60">
        <v>30.476352160744057</v>
      </c>
      <c r="C277" s="61">
        <v>1262</v>
      </c>
      <c r="D277" s="60">
        <v>0.39299528608245277</v>
      </c>
    </row>
    <row r="278" spans="1:4" x14ac:dyDescent="0.25">
      <c r="A278" s="62">
        <v>45870</v>
      </c>
      <c r="B278" s="60">
        <v>28.126403170709658</v>
      </c>
      <c r="C278" s="61">
        <v>933</v>
      </c>
      <c r="D278" s="60">
        <v>-1.3430950575032971E-2</v>
      </c>
    </row>
    <row r="279" spans="1:4" x14ac:dyDescent="0.25">
      <c r="A279" s="62">
        <v>45869</v>
      </c>
      <c r="B279" s="60">
        <v>28.147663933971046</v>
      </c>
      <c r="C279" s="61">
        <v>1254</v>
      </c>
      <c r="D279" s="60">
        <v>0.33302539810841675</v>
      </c>
    </row>
    <row r="280" spans="1:4" x14ac:dyDescent="0.25">
      <c r="A280" s="62">
        <v>45868</v>
      </c>
      <c r="B280" s="60">
        <v>27.245668119485487</v>
      </c>
      <c r="C280" s="61">
        <v>2475</v>
      </c>
      <c r="D280" s="60">
        <v>1.2614355411027125</v>
      </c>
    </row>
    <row r="281" spans="1:4" x14ac:dyDescent="0.25">
      <c r="A281" s="62">
        <v>45867</v>
      </c>
      <c r="B281" s="60">
        <v>26.940718962855545</v>
      </c>
      <c r="C281" s="61">
        <v>3001</v>
      </c>
      <c r="D281" s="60">
        <v>0.87957131118639442</v>
      </c>
    </row>
    <row r="282" spans="1:4" x14ac:dyDescent="0.25">
      <c r="A282" s="62">
        <v>45866</v>
      </c>
      <c r="B282" s="60">
        <v>21.286307909797241</v>
      </c>
      <c r="C282" s="61">
        <v>2303</v>
      </c>
      <c r="D282" s="60">
        <v>0.72413466066553656</v>
      </c>
    </row>
    <row r="283" spans="1:4" x14ac:dyDescent="0.25">
      <c r="A283" s="62">
        <v>45863</v>
      </c>
      <c r="B283" s="60">
        <v>20.009551477226395</v>
      </c>
      <c r="C283" s="61">
        <v>600</v>
      </c>
      <c r="D283" s="60">
        <v>1.1417964514077956</v>
      </c>
    </row>
    <row r="284" spans="1:4" x14ac:dyDescent="0.25">
      <c r="A284" s="62">
        <v>45862</v>
      </c>
      <c r="B284" s="60">
        <v>20.182810831565565</v>
      </c>
      <c r="C284" s="61">
        <v>682</v>
      </c>
      <c r="D284" s="60">
        <v>2.0304295404944157</v>
      </c>
    </row>
    <row r="285" spans="1:4" x14ac:dyDescent="0.25">
      <c r="A285" s="62">
        <v>45861</v>
      </c>
      <c r="B285" s="60">
        <v>20.458883429138982</v>
      </c>
      <c r="C285" s="61">
        <v>1595</v>
      </c>
      <c r="D285" s="60">
        <v>2.3998382174105104</v>
      </c>
    </row>
    <row r="286" spans="1:4" x14ac:dyDescent="0.25">
      <c r="A286" s="62">
        <v>45860</v>
      </c>
      <c r="B286" s="60">
        <v>19.822488493008528</v>
      </c>
      <c r="C286" s="61">
        <v>1294</v>
      </c>
      <c r="D286" s="60">
        <v>2.2284317951570674</v>
      </c>
    </row>
    <row r="287" spans="1:4" x14ac:dyDescent="0.25">
      <c r="A287" s="62">
        <v>45859</v>
      </c>
      <c r="B287" s="60">
        <v>21.905884630213443</v>
      </c>
      <c r="C287" s="61">
        <v>453</v>
      </c>
      <c r="D287" s="60">
        <v>2.0613023791734935</v>
      </c>
    </row>
    <row r="288" spans="1:4" x14ac:dyDescent="0.25">
      <c r="A288" s="62">
        <v>45856</v>
      </c>
      <c r="B288" s="60">
        <v>21.301222176562693</v>
      </c>
      <c r="C288" s="61">
        <v>1208</v>
      </c>
      <c r="D288" s="60">
        <v>1.9146255203554767</v>
      </c>
    </row>
    <row r="289" spans="1:4" x14ac:dyDescent="0.25">
      <c r="A289" s="62">
        <v>45855</v>
      </c>
      <c r="B289" s="60">
        <v>22.634621090359833</v>
      </c>
      <c r="C289" s="61">
        <v>677</v>
      </c>
      <c r="D289" s="60">
        <v>1.5305924763213534</v>
      </c>
    </row>
    <row r="290" spans="1:4" x14ac:dyDescent="0.25">
      <c r="A290" s="62">
        <v>45854</v>
      </c>
      <c r="B290" s="60">
        <v>22.058835195765607</v>
      </c>
      <c r="C290" s="61">
        <v>1786</v>
      </c>
      <c r="D290" s="60">
        <v>1.0278646667801514</v>
      </c>
    </row>
    <row r="291" spans="1:4" x14ac:dyDescent="0.25">
      <c r="A291" s="62">
        <v>45853</v>
      </c>
      <c r="B291" s="60">
        <v>21.568568341454192</v>
      </c>
      <c r="C291" s="61">
        <v>2479</v>
      </c>
      <c r="D291" s="60">
        <v>0.88886698210121973</v>
      </c>
    </row>
    <row r="292" spans="1:4" x14ac:dyDescent="0.25">
      <c r="A292" s="62">
        <v>45852</v>
      </c>
      <c r="B292" s="60">
        <v>20.103162300541516</v>
      </c>
      <c r="C292" s="61">
        <v>2232</v>
      </c>
      <c r="D292" s="60">
        <v>0.68121383568808191</v>
      </c>
    </row>
    <row r="293" spans="1:4" x14ac:dyDescent="0.25">
      <c r="A293" s="62">
        <v>45849</v>
      </c>
      <c r="B293" s="60">
        <v>15.858942768881224</v>
      </c>
      <c r="C293" s="61">
        <v>4219</v>
      </c>
      <c r="D293" s="60">
        <v>0.40035018634012898</v>
      </c>
    </row>
    <row r="294" spans="1:4" x14ac:dyDescent="0.25">
      <c r="A294" s="62">
        <v>45848</v>
      </c>
      <c r="B294" s="60">
        <v>14.931560968411901</v>
      </c>
      <c r="C294" s="61">
        <v>1922</v>
      </c>
      <c r="D294" s="60">
        <v>9.301081790136291E-2</v>
      </c>
    </row>
    <row r="295" spans="1:4" x14ac:dyDescent="0.25">
      <c r="A295" s="62">
        <v>45847</v>
      </c>
      <c r="B295" s="60">
        <v>13.635606383940823</v>
      </c>
      <c r="C295" s="61">
        <v>2252</v>
      </c>
      <c r="D295" s="60">
        <v>6.0241836750876597E-2</v>
      </c>
    </row>
    <row r="296" spans="1:4" x14ac:dyDescent="0.25">
      <c r="A296" s="62">
        <v>45846</v>
      </c>
      <c r="B296" s="60">
        <v>12.66951095484627</v>
      </c>
      <c r="C296" s="61">
        <v>2210</v>
      </c>
      <c r="D296" s="60">
        <v>-0.22590348077625252</v>
      </c>
    </row>
    <row r="297" spans="1:4" x14ac:dyDescent="0.25">
      <c r="A297" s="62">
        <v>45845</v>
      </c>
      <c r="B297" s="60">
        <v>14.491431436418408</v>
      </c>
      <c r="C297" s="61">
        <v>2822</v>
      </c>
      <c r="D297" s="60">
        <v>-0.26949375703886747</v>
      </c>
    </row>
    <row r="298" spans="1:4" x14ac:dyDescent="0.25">
      <c r="A298" s="62">
        <v>45842</v>
      </c>
      <c r="B298" s="60">
        <v>14.002909868643387</v>
      </c>
      <c r="C298" s="61">
        <v>6995</v>
      </c>
      <c r="D298" s="60">
        <v>-0.4175475113463627</v>
      </c>
    </row>
    <row r="299" spans="1:4" x14ac:dyDescent="0.25">
      <c r="A299" s="62">
        <v>45841</v>
      </c>
      <c r="B299" s="60">
        <v>9.1232473753270416</v>
      </c>
      <c r="C299" s="61">
        <v>6551</v>
      </c>
      <c r="D299" s="60">
        <v>-0.25989054524096655</v>
      </c>
    </row>
    <row r="300" spans="1:4" x14ac:dyDescent="0.25">
      <c r="A300" s="62">
        <v>45840</v>
      </c>
      <c r="B300" s="60">
        <v>3.0201390200057436</v>
      </c>
      <c r="C300" s="61">
        <v>250</v>
      </c>
      <c r="D300" s="60">
        <v>-0.70206918607613522</v>
      </c>
    </row>
    <row r="301" spans="1:4" x14ac:dyDescent="0.25">
      <c r="A301" s="62">
        <v>45839</v>
      </c>
      <c r="B301" s="60">
        <v>2.6020635633356552</v>
      </c>
      <c r="C301" s="61">
        <v>443</v>
      </c>
      <c r="D301" s="60">
        <v>-0.73332697446768491</v>
      </c>
    </row>
    <row r="302" spans="1:4" x14ac:dyDescent="0.25">
      <c r="A302" s="62">
        <v>45838</v>
      </c>
      <c r="B302" s="60">
        <v>3.6352731928747839</v>
      </c>
      <c r="C302" s="61">
        <v>560</v>
      </c>
      <c r="D302" s="60">
        <v>-0.79801756151631187</v>
      </c>
    </row>
    <row r="303" spans="1:4" x14ac:dyDescent="0.25">
      <c r="A303" s="62">
        <v>45835</v>
      </c>
      <c r="B303" s="60">
        <v>2.3443958056004637</v>
      </c>
      <c r="C303" s="61">
        <v>390</v>
      </c>
      <c r="D303" s="60">
        <v>-0.90734480787007421</v>
      </c>
    </row>
    <row r="304" spans="1:4" x14ac:dyDescent="0.25">
      <c r="A304" s="62">
        <v>45834</v>
      </c>
      <c r="B304" s="60">
        <v>1.9880400273533998</v>
      </c>
      <c r="C304" s="61">
        <v>928</v>
      </c>
      <c r="D304" s="60">
        <v>-1.0385994111122916</v>
      </c>
    </row>
    <row r="305" spans="1:6" x14ac:dyDescent="0.25">
      <c r="A305" s="62">
        <v>45833</v>
      </c>
      <c r="B305" s="60">
        <v>1.0620861885956654</v>
      </c>
      <c r="C305" s="61">
        <v>723</v>
      </c>
      <c r="D305" s="60">
        <v>-1.6535632633362345</v>
      </c>
    </row>
    <row r="306" spans="1:6" x14ac:dyDescent="0.25">
      <c r="A306" s="62">
        <v>45832</v>
      </c>
      <c r="B306" s="60">
        <v>7.1398085579331997E-3</v>
      </c>
      <c r="C306" s="61">
        <v>293</v>
      </c>
      <c r="D306" s="60">
        <v>-2.1884341806513437</v>
      </c>
    </row>
    <row r="307" spans="1:6" x14ac:dyDescent="0.25">
      <c r="A307" s="62">
        <v>45831</v>
      </c>
      <c r="B307" s="60">
        <v>0.14374814563305277</v>
      </c>
      <c r="C307" s="61">
        <v>729</v>
      </c>
      <c r="D307" s="60">
        <v>-3.7978376412988282</v>
      </c>
    </row>
    <row r="308" spans="1:6" x14ac:dyDescent="0.25">
      <c r="A308" s="62">
        <v>45828</v>
      </c>
      <c r="B308" s="60">
        <v>2.4835427412739568</v>
      </c>
      <c r="C308" s="61">
        <v>219</v>
      </c>
      <c r="D308" s="60">
        <v>-3.1820766196034982</v>
      </c>
    </row>
    <row r="309" spans="1:6" x14ac:dyDescent="0.25">
      <c r="A309" s="62">
        <v>45827</v>
      </c>
      <c r="B309" s="60">
        <v>2.725820245006497</v>
      </c>
      <c r="C309" s="61">
        <v>839</v>
      </c>
      <c r="D309" s="60">
        <v>-3.7544070682381707</v>
      </c>
    </row>
    <row r="310" spans="1:6" x14ac:dyDescent="0.25">
      <c r="A310" s="62">
        <v>45826</v>
      </c>
      <c r="B310" s="60">
        <v>2.7618366126209555</v>
      </c>
      <c r="C310" s="61">
        <v>863</v>
      </c>
      <c r="D310" s="60">
        <v>-2.2417193406431162</v>
      </c>
    </row>
    <row r="311" spans="1:6" x14ac:dyDescent="0.25">
      <c r="A311" s="62">
        <v>45825</v>
      </c>
      <c r="B311" s="60">
        <v>2.226985620425562</v>
      </c>
      <c r="C311" s="61">
        <v>298</v>
      </c>
      <c r="D311" s="60">
        <v>-1.5929144382246769</v>
      </c>
    </row>
    <row r="312" spans="1:6" x14ac:dyDescent="0.25">
      <c r="A312" s="62">
        <v>45824</v>
      </c>
      <c r="B312" s="60">
        <v>2.4300735082956617</v>
      </c>
      <c r="C312" s="61">
        <v>1212</v>
      </c>
      <c r="D312" s="60">
        <v>-1.0334520857669434</v>
      </c>
    </row>
    <row r="313" spans="1:6" x14ac:dyDescent="0.25">
      <c r="A313" s="62">
        <v>45821</v>
      </c>
      <c r="B313" s="60">
        <v>0.28464036784293922</v>
      </c>
      <c r="C313" s="61">
        <v>213</v>
      </c>
      <c r="D313" s="60">
        <v>-1.2936038338648146</v>
      </c>
    </row>
    <row r="314" spans="1:6" x14ac:dyDescent="0.2">
      <c r="A314" s="88"/>
      <c r="B314" s="88"/>
      <c r="C314" s="88"/>
      <c r="D314" s="88"/>
      <c r="E314" s="88"/>
      <c r="F314" s="88"/>
    </row>
  </sheetData>
  <mergeCells count="42">
    <mergeCell ref="A314:F314"/>
    <mergeCell ref="A41:F41"/>
    <mergeCell ref="A42:F42"/>
    <mergeCell ref="A43:F43"/>
    <mergeCell ref="A44:F44"/>
    <mergeCell ref="A49:F49"/>
    <mergeCell ref="A50:F50"/>
    <mergeCell ref="A36:F36"/>
    <mergeCell ref="A37:F37"/>
    <mergeCell ref="A38:F38"/>
    <mergeCell ref="A39:F39"/>
    <mergeCell ref="A40:F40"/>
    <mergeCell ref="A35:F35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23:F2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11:F11"/>
    <mergeCell ref="A1:D1"/>
    <mergeCell ref="A3:F3"/>
    <mergeCell ref="A4:F4"/>
    <mergeCell ref="A5:F5"/>
    <mergeCell ref="A10:F10"/>
  </mergeCells>
  <pageMargins left="0.7" right="0.7" top="0.75" bottom="0.75" header="0.3" footer="0.3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B9FA-DA84-4E2E-B257-935188557577}">
  <sheetPr filterMode="1"/>
  <dimension ref="A1:L314"/>
  <sheetViews>
    <sheetView workbookViewId="0">
      <selection activeCell="A2" sqref="A2"/>
    </sheetView>
  </sheetViews>
  <sheetFormatPr defaultColWidth="9.140625" defaultRowHeight="15" x14ac:dyDescent="0.25"/>
  <cols>
    <col min="1" max="1" width="48.5703125" style="58" customWidth="1"/>
    <col min="2" max="2" width="39.85546875" style="58" customWidth="1"/>
    <col min="3" max="3" width="32.7109375" style="58" customWidth="1"/>
    <col min="4" max="4" width="48.5703125" style="58" customWidth="1"/>
    <col min="5" max="5" width="18.5703125" style="58" customWidth="1"/>
    <col min="6" max="6" width="29.85546875" style="58" customWidth="1"/>
  </cols>
  <sheetData>
    <row r="1" spans="1:12" ht="39.950000000000003" customHeight="1" x14ac:dyDescent="0.25">
      <c r="A1" s="89"/>
      <c r="B1" s="89"/>
      <c r="C1" s="89"/>
      <c r="D1" s="89"/>
    </row>
    <row r="2" spans="1:12" ht="30" customHeight="1" x14ac:dyDescent="0.3">
      <c r="A2" s="66" t="s">
        <v>171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x14ac:dyDescent="0.2">
      <c r="A3" s="88"/>
      <c r="B3" s="88"/>
      <c r="C3" s="88"/>
      <c r="D3" s="88"/>
      <c r="E3" s="88"/>
      <c r="F3" s="88"/>
    </row>
    <row r="4" spans="1:12" x14ac:dyDescent="0.2">
      <c r="A4" s="88" t="s">
        <v>170</v>
      </c>
      <c r="B4" s="88"/>
      <c r="C4" s="88"/>
      <c r="D4" s="88"/>
      <c r="E4" s="88"/>
      <c r="F4" s="88"/>
    </row>
    <row r="5" spans="1:12" x14ac:dyDescent="0.2">
      <c r="A5" s="88"/>
      <c r="B5" s="88"/>
      <c r="C5" s="88"/>
      <c r="D5" s="88"/>
      <c r="E5" s="88"/>
      <c r="F5" s="88"/>
    </row>
    <row r="6" spans="1:12" x14ac:dyDescent="0.25">
      <c r="A6" s="59"/>
    </row>
    <row r="7" spans="1:12" x14ac:dyDescent="0.25">
      <c r="A7" s="59" t="s">
        <v>169</v>
      </c>
    </row>
    <row r="8" spans="1:12" x14ac:dyDescent="0.25">
      <c r="A8" s="59" t="s">
        <v>134</v>
      </c>
    </row>
    <row r="9" spans="1:12" x14ac:dyDescent="0.25">
      <c r="A9" s="59"/>
    </row>
    <row r="10" spans="1:12" x14ac:dyDescent="0.2">
      <c r="A10" s="88"/>
      <c r="B10" s="88"/>
      <c r="C10" s="88"/>
      <c r="D10" s="88"/>
      <c r="E10" s="88"/>
      <c r="F10" s="88"/>
    </row>
    <row r="11" spans="1:12" x14ac:dyDescent="0.2">
      <c r="A11" s="88"/>
      <c r="B11" s="88"/>
      <c r="C11" s="88"/>
      <c r="D11" s="88"/>
      <c r="E11" s="88"/>
      <c r="F11" s="88"/>
    </row>
    <row r="12" spans="1:12" x14ac:dyDescent="0.2">
      <c r="A12" s="88"/>
      <c r="B12" s="88"/>
      <c r="C12" s="88"/>
      <c r="D12" s="88"/>
      <c r="E12" s="88"/>
      <c r="F12" s="88"/>
    </row>
    <row r="13" spans="1:12" x14ac:dyDescent="0.2">
      <c r="A13" s="88"/>
      <c r="B13" s="88"/>
      <c r="C13" s="88"/>
      <c r="D13" s="88"/>
      <c r="E13" s="88"/>
      <c r="F13" s="88"/>
    </row>
    <row r="14" spans="1:12" x14ac:dyDescent="0.2">
      <c r="A14" s="88"/>
      <c r="B14" s="88"/>
      <c r="C14" s="88"/>
      <c r="D14" s="88"/>
      <c r="E14" s="88"/>
      <c r="F14" s="88"/>
    </row>
    <row r="15" spans="1:12" x14ac:dyDescent="0.2">
      <c r="A15" s="88"/>
      <c r="B15" s="88"/>
      <c r="C15" s="88"/>
      <c r="D15" s="88"/>
      <c r="E15" s="88"/>
      <c r="F15" s="88"/>
    </row>
    <row r="16" spans="1:12" x14ac:dyDescent="0.2">
      <c r="A16" s="88"/>
      <c r="B16" s="88"/>
      <c r="C16" s="88"/>
      <c r="D16" s="88"/>
      <c r="E16" s="88"/>
      <c r="F16" s="88"/>
    </row>
    <row r="17" spans="1:6" x14ac:dyDescent="0.2">
      <c r="A17" s="88"/>
      <c r="B17" s="88"/>
      <c r="C17" s="88"/>
      <c r="D17" s="88"/>
      <c r="E17" s="88"/>
      <c r="F17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2" spans="1:6" x14ac:dyDescent="0.2">
      <c r="A22" s="88"/>
      <c r="B22" s="88"/>
      <c r="C22" s="88"/>
      <c r="D22" s="88"/>
      <c r="E22" s="88"/>
      <c r="F22" s="88"/>
    </row>
    <row r="23" spans="1:6" x14ac:dyDescent="0.2">
      <c r="A23" s="88"/>
      <c r="B23" s="88"/>
      <c r="C23" s="88"/>
      <c r="D23" s="88"/>
      <c r="E23" s="88"/>
      <c r="F23" s="88"/>
    </row>
    <row r="24" spans="1:6" x14ac:dyDescent="0.2">
      <c r="A24" s="88"/>
      <c r="B24" s="88"/>
      <c r="C24" s="88"/>
      <c r="D24" s="88"/>
      <c r="E24" s="88"/>
      <c r="F24" s="88"/>
    </row>
    <row r="25" spans="1:6" x14ac:dyDescent="0.2">
      <c r="A25" s="88"/>
      <c r="B25" s="88"/>
      <c r="C25" s="88"/>
      <c r="D25" s="88"/>
      <c r="E25" s="88"/>
      <c r="F25" s="88"/>
    </row>
    <row r="26" spans="1:6" x14ac:dyDescent="0.2">
      <c r="A26" s="88"/>
      <c r="B26" s="88"/>
      <c r="C26" s="88"/>
      <c r="D26" s="88"/>
      <c r="E26" s="88"/>
      <c r="F26" s="88"/>
    </row>
    <row r="27" spans="1:6" x14ac:dyDescent="0.2">
      <c r="A27" s="88"/>
      <c r="B27" s="88"/>
      <c r="C27" s="88"/>
      <c r="D27" s="88"/>
      <c r="E27" s="88"/>
      <c r="F27" s="88"/>
    </row>
    <row r="28" spans="1:6" x14ac:dyDescent="0.2">
      <c r="A28" s="88"/>
      <c r="B28" s="88"/>
      <c r="C28" s="88"/>
      <c r="D28" s="88"/>
      <c r="E28" s="88"/>
      <c r="F28" s="88"/>
    </row>
    <row r="29" spans="1:6" x14ac:dyDescent="0.2">
      <c r="A29" s="88"/>
      <c r="B29" s="88"/>
      <c r="C29" s="88"/>
      <c r="D29" s="88"/>
      <c r="E29" s="88"/>
      <c r="F29" s="88"/>
    </row>
    <row r="30" spans="1:6" x14ac:dyDescent="0.2">
      <c r="A30" s="88"/>
      <c r="B30" s="88"/>
      <c r="C30" s="88"/>
      <c r="D30" s="88"/>
      <c r="E30" s="88"/>
      <c r="F30" s="88"/>
    </row>
    <row r="31" spans="1:6" x14ac:dyDescent="0.2">
      <c r="A31" s="88"/>
      <c r="B31" s="88"/>
      <c r="C31" s="88"/>
      <c r="D31" s="88"/>
      <c r="E31" s="88"/>
      <c r="F31" s="88"/>
    </row>
    <row r="32" spans="1:6" x14ac:dyDescent="0.2">
      <c r="A32" s="88"/>
      <c r="B32" s="88"/>
      <c r="C32" s="88"/>
      <c r="D32" s="88"/>
      <c r="E32" s="88"/>
      <c r="F32" s="88"/>
    </row>
    <row r="33" spans="1:6" x14ac:dyDescent="0.2">
      <c r="A33" s="88"/>
      <c r="B33" s="88"/>
      <c r="C33" s="88"/>
      <c r="D33" s="88"/>
      <c r="E33" s="88"/>
      <c r="F33" s="88"/>
    </row>
    <row r="34" spans="1:6" x14ac:dyDescent="0.2">
      <c r="A34" s="88"/>
      <c r="B34" s="88"/>
      <c r="C34" s="88"/>
      <c r="D34" s="88"/>
      <c r="E34" s="88"/>
      <c r="F34" s="88"/>
    </row>
    <row r="35" spans="1:6" x14ac:dyDescent="0.2">
      <c r="A35" s="88"/>
      <c r="B35" s="88"/>
      <c r="C35" s="88"/>
      <c r="D35" s="88"/>
      <c r="E35" s="88"/>
      <c r="F35" s="88"/>
    </row>
    <row r="36" spans="1:6" x14ac:dyDescent="0.2">
      <c r="A36" s="88"/>
      <c r="B36" s="88"/>
      <c r="C36" s="88"/>
      <c r="D36" s="88"/>
      <c r="E36" s="88"/>
      <c r="F36" s="88"/>
    </row>
    <row r="37" spans="1:6" x14ac:dyDescent="0.2">
      <c r="A37" s="88"/>
      <c r="B37" s="88"/>
      <c r="C37" s="88"/>
      <c r="D37" s="88"/>
      <c r="E37" s="88"/>
      <c r="F37" s="88"/>
    </row>
    <row r="38" spans="1:6" x14ac:dyDescent="0.2">
      <c r="A38" s="88"/>
      <c r="B38" s="88"/>
      <c r="C38" s="88"/>
      <c r="D38" s="88"/>
      <c r="E38" s="88"/>
      <c r="F38" s="88"/>
    </row>
    <row r="39" spans="1:6" x14ac:dyDescent="0.2">
      <c r="A39" s="88"/>
      <c r="B39" s="88"/>
      <c r="C39" s="88"/>
      <c r="D39" s="88"/>
      <c r="E39" s="88"/>
      <c r="F39" s="88"/>
    </row>
    <row r="40" spans="1:6" x14ac:dyDescent="0.2">
      <c r="A40" s="88"/>
      <c r="B40" s="88"/>
      <c r="C40" s="88"/>
      <c r="D40" s="88"/>
      <c r="E40" s="88"/>
      <c r="F40" s="88"/>
    </row>
    <row r="41" spans="1:6" x14ac:dyDescent="0.2">
      <c r="A41" s="88"/>
      <c r="B41" s="88"/>
      <c r="C41" s="88"/>
      <c r="D41" s="88"/>
      <c r="E41" s="88"/>
      <c r="F41" s="88"/>
    </row>
    <row r="42" spans="1:6" x14ac:dyDescent="0.2">
      <c r="A42" s="88"/>
      <c r="B42" s="88"/>
      <c r="C42" s="88"/>
      <c r="D42" s="88"/>
      <c r="E42" s="88"/>
      <c r="F42" s="88"/>
    </row>
    <row r="43" spans="1:6" x14ac:dyDescent="0.2">
      <c r="A43" s="88"/>
      <c r="B43" s="88"/>
      <c r="C43" s="88"/>
      <c r="D43" s="88"/>
      <c r="E43" s="88"/>
      <c r="F43" s="88"/>
    </row>
    <row r="44" spans="1:6" x14ac:dyDescent="0.2">
      <c r="A44" s="88"/>
      <c r="B44" s="88"/>
      <c r="C44" s="88"/>
      <c r="D44" s="88"/>
      <c r="E44" s="88"/>
      <c r="F44" s="88"/>
    </row>
    <row r="45" spans="1:6" x14ac:dyDescent="0.2">
      <c r="A45" s="64" t="s">
        <v>133</v>
      </c>
      <c r="B45" s="64" t="s">
        <v>132</v>
      </c>
      <c r="C45" s="64" t="s">
        <v>131</v>
      </c>
      <c r="D45" s="64" t="s">
        <v>130</v>
      </c>
      <c r="E45" s="64" t="s">
        <v>129</v>
      </c>
      <c r="F45" s="64" t="s">
        <v>128</v>
      </c>
    </row>
    <row r="46" spans="1:6" x14ac:dyDescent="0.2">
      <c r="A46" s="59" t="s">
        <v>168</v>
      </c>
      <c r="B46" s="59" t="s">
        <v>117</v>
      </c>
      <c r="C46" s="59" t="s">
        <v>167</v>
      </c>
      <c r="D46" s="59" t="s">
        <v>166</v>
      </c>
      <c r="E46" s="59" t="s">
        <v>165</v>
      </c>
      <c r="F46" s="59" t="s">
        <v>164</v>
      </c>
    </row>
    <row r="47" spans="1:6" x14ac:dyDescent="0.2">
      <c r="A47" s="59" t="s">
        <v>158</v>
      </c>
      <c r="B47" s="59" t="s">
        <v>117</v>
      </c>
      <c r="C47" s="59" t="s">
        <v>163</v>
      </c>
      <c r="D47" s="59" t="s">
        <v>162</v>
      </c>
      <c r="E47" s="59" t="s">
        <v>161</v>
      </c>
      <c r="F47" s="59" t="s">
        <v>160</v>
      </c>
    </row>
    <row r="48" spans="1:6" x14ac:dyDescent="0.2">
      <c r="A48" s="59" t="s">
        <v>145</v>
      </c>
      <c r="B48" s="59" t="s">
        <v>117</v>
      </c>
      <c r="C48" s="59" t="s">
        <v>144</v>
      </c>
      <c r="D48" s="59" t="s">
        <v>143</v>
      </c>
      <c r="E48" s="59" t="s">
        <v>142</v>
      </c>
      <c r="F48" s="59" t="s">
        <v>141</v>
      </c>
    </row>
    <row r="49" spans="1:6" x14ac:dyDescent="0.2">
      <c r="A49" s="88"/>
      <c r="B49" s="88"/>
      <c r="C49" s="88"/>
      <c r="D49" s="88"/>
      <c r="E49" s="88"/>
      <c r="F49" s="88"/>
    </row>
    <row r="50" spans="1:6" x14ac:dyDescent="0.2">
      <c r="A50" s="88"/>
      <c r="B50" s="88"/>
      <c r="C50" s="88"/>
      <c r="D50" s="88"/>
      <c r="E50" s="88"/>
      <c r="F50" s="88"/>
    </row>
    <row r="51" spans="1:6" x14ac:dyDescent="0.25">
      <c r="A51" s="64" t="s">
        <v>112</v>
      </c>
      <c r="B51" s="64" t="s">
        <v>159</v>
      </c>
      <c r="C51" s="64" t="s">
        <v>158</v>
      </c>
      <c r="D51" s="64" t="s">
        <v>138</v>
      </c>
    </row>
    <row r="52" spans="1:6" x14ac:dyDescent="0.25">
      <c r="A52" s="62">
        <v>46185</v>
      </c>
      <c r="B52" s="60">
        <v>-1.8193058376755278</v>
      </c>
      <c r="C52" s="61">
        <v>192524</v>
      </c>
      <c r="D52" s="60">
        <v>21.528018978566486</v>
      </c>
    </row>
    <row r="53" spans="1:6" x14ac:dyDescent="0.25">
      <c r="A53" s="62">
        <v>46184</v>
      </c>
      <c r="B53" s="60">
        <v>-4.3539697959904622</v>
      </c>
      <c r="C53" s="61">
        <v>236130</v>
      </c>
      <c r="D53" s="60">
        <v>17.70901372830339</v>
      </c>
    </row>
    <row r="54" spans="1:6" x14ac:dyDescent="0.25">
      <c r="A54" s="62">
        <v>46183</v>
      </c>
      <c r="B54" s="60">
        <v>-4.036032853484059</v>
      </c>
      <c r="C54" s="61">
        <v>470400</v>
      </c>
      <c r="D54" s="60">
        <v>17.649255720347767</v>
      </c>
    </row>
    <row r="55" spans="1:6" x14ac:dyDescent="0.25">
      <c r="A55" s="62">
        <v>46182</v>
      </c>
      <c r="B55" s="60">
        <v>-3.6386116753510556</v>
      </c>
      <c r="C55" s="61">
        <v>257371</v>
      </c>
      <c r="D55" s="60">
        <v>18.98560156278868</v>
      </c>
    </row>
    <row r="56" spans="1:6" x14ac:dyDescent="0.25">
      <c r="A56" s="62">
        <v>46181</v>
      </c>
      <c r="B56" s="60">
        <v>-4.6630751567605762</v>
      </c>
      <c r="C56" s="61">
        <v>285585</v>
      </c>
      <c r="D56" s="60">
        <v>17.096289345379308</v>
      </c>
    </row>
    <row r="57" spans="1:6" x14ac:dyDescent="0.25">
      <c r="A57" s="62">
        <v>46178</v>
      </c>
      <c r="B57" s="60">
        <v>-3.6297800936147664</v>
      </c>
      <c r="C57" s="61">
        <v>424664</v>
      </c>
      <c r="D57" s="60">
        <v>21.42988370531172</v>
      </c>
    </row>
    <row r="58" spans="1:6" x14ac:dyDescent="0.25">
      <c r="A58" s="62">
        <v>46177</v>
      </c>
      <c r="B58" s="60">
        <v>-2.879095646030204</v>
      </c>
      <c r="C58" s="61">
        <v>541327</v>
      </c>
      <c r="D58" s="60">
        <v>22.783450720815782</v>
      </c>
    </row>
    <row r="59" spans="1:6" x14ac:dyDescent="0.25">
      <c r="A59" s="62">
        <v>46176</v>
      </c>
      <c r="B59" s="60">
        <v>-1.9606111454561512</v>
      </c>
      <c r="C59" s="61">
        <v>412934</v>
      </c>
      <c r="D59" s="60">
        <v>24.428947069557474</v>
      </c>
    </row>
    <row r="60" spans="1:6" x14ac:dyDescent="0.25">
      <c r="A60" s="62">
        <v>46175</v>
      </c>
      <c r="B60" s="60">
        <v>-1.3953899143336572</v>
      </c>
      <c r="C60" s="61">
        <v>413041</v>
      </c>
      <c r="D60" s="60">
        <v>24.832888621471966</v>
      </c>
    </row>
    <row r="61" spans="1:6" x14ac:dyDescent="0.25">
      <c r="A61" s="62">
        <v>46174</v>
      </c>
      <c r="B61" s="60">
        <v>-0.80367393800229625</v>
      </c>
      <c r="C61" s="61">
        <v>497866</v>
      </c>
      <c r="D61" s="60">
        <v>23.449959876725515</v>
      </c>
    </row>
    <row r="62" spans="1:6" x14ac:dyDescent="0.25">
      <c r="A62" s="62">
        <v>46171</v>
      </c>
      <c r="B62" s="60">
        <v>1.4042214960699462</v>
      </c>
      <c r="C62" s="61">
        <v>1776975</v>
      </c>
      <c r="D62" s="60">
        <v>22.876986643641374</v>
      </c>
    </row>
    <row r="63" spans="1:6" hidden="1" x14ac:dyDescent="0.25">
      <c r="A63" s="62">
        <v>46170</v>
      </c>
      <c r="B63" s="63" t="s">
        <v>108</v>
      </c>
      <c r="C63" s="63" t="s">
        <v>108</v>
      </c>
      <c r="D63" s="60">
        <v>23.33697563177769</v>
      </c>
    </row>
    <row r="64" spans="1:6" x14ac:dyDescent="0.25">
      <c r="A64" s="62">
        <v>46169</v>
      </c>
      <c r="B64" s="60">
        <v>3.2323589154817629</v>
      </c>
      <c r="C64" s="61">
        <v>243628</v>
      </c>
      <c r="D64" s="60">
        <v>24.213523091191949</v>
      </c>
    </row>
    <row r="65" spans="1:4" x14ac:dyDescent="0.25">
      <c r="A65" s="62">
        <v>46168</v>
      </c>
      <c r="B65" s="60">
        <v>2.6494745208866908</v>
      </c>
      <c r="C65" s="61">
        <v>210716</v>
      </c>
      <c r="D65" s="60">
        <v>24.98309835375424</v>
      </c>
    </row>
    <row r="66" spans="1:4" x14ac:dyDescent="0.25">
      <c r="A66" s="62">
        <v>46167</v>
      </c>
      <c r="B66" s="60">
        <v>3.5591274397244548</v>
      </c>
      <c r="C66" s="61">
        <v>229618</v>
      </c>
      <c r="D66" s="60">
        <v>23.668885625484659</v>
      </c>
    </row>
    <row r="67" spans="1:4" x14ac:dyDescent="0.25">
      <c r="A67" s="62">
        <v>46164</v>
      </c>
      <c r="B67" s="60">
        <v>2.1725691071270865</v>
      </c>
      <c r="C67" s="61">
        <v>340427</v>
      </c>
      <c r="D67" s="60">
        <v>22.89129305179668</v>
      </c>
    </row>
    <row r="68" spans="1:4" x14ac:dyDescent="0.25">
      <c r="A68" s="62">
        <v>46163</v>
      </c>
      <c r="B68" s="60">
        <v>1.3335688421796343</v>
      </c>
      <c r="C68" s="61">
        <v>244967</v>
      </c>
      <c r="D68" s="60">
        <v>20.689050083586537</v>
      </c>
    </row>
    <row r="69" spans="1:4" x14ac:dyDescent="0.25">
      <c r="A69" s="62">
        <v>46162</v>
      </c>
      <c r="B69" s="60">
        <v>0.75951602932085138</v>
      </c>
      <c r="C69" s="61">
        <v>168245</v>
      </c>
      <c r="D69" s="60">
        <v>21.127643263673757</v>
      </c>
    </row>
    <row r="70" spans="1:4" x14ac:dyDescent="0.25">
      <c r="A70" s="62">
        <v>46161</v>
      </c>
      <c r="B70" s="60">
        <v>0.39742117813300359</v>
      </c>
      <c r="C70" s="61">
        <v>347784</v>
      </c>
      <c r="D70" s="60">
        <v>21.406026571124485</v>
      </c>
    </row>
    <row r="71" spans="1:4" x14ac:dyDescent="0.25">
      <c r="A71" s="62">
        <v>46160</v>
      </c>
      <c r="B71" s="60">
        <v>2.1019164532367749</v>
      </c>
      <c r="C71" s="61">
        <v>233668</v>
      </c>
      <c r="D71" s="60">
        <v>22.748081509990829</v>
      </c>
    </row>
    <row r="72" spans="1:4" x14ac:dyDescent="0.25">
      <c r="A72" s="62">
        <v>46157</v>
      </c>
      <c r="B72" s="60">
        <v>1.4483794047513909</v>
      </c>
      <c r="C72" s="61">
        <v>284388</v>
      </c>
      <c r="D72" s="60">
        <v>24.658919348222568</v>
      </c>
    </row>
    <row r="73" spans="1:4" x14ac:dyDescent="0.25">
      <c r="A73" s="62">
        <v>46156</v>
      </c>
      <c r="B73" s="60">
        <v>3.2588536606906295</v>
      </c>
      <c r="C73" s="61">
        <v>220410</v>
      </c>
      <c r="D73" s="60">
        <v>27.566113301014067</v>
      </c>
    </row>
    <row r="74" spans="1:4" x14ac:dyDescent="0.25">
      <c r="A74" s="62">
        <v>46155</v>
      </c>
      <c r="B74" s="60">
        <v>2.2078954340722423</v>
      </c>
      <c r="C74" s="61">
        <v>453482</v>
      </c>
      <c r="D74" s="60">
        <v>28.844356340842584</v>
      </c>
    </row>
    <row r="75" spans="1:4" x14ac:dyDescent="0.25">
      <c r="A75" s="62">
        <v>46154</v>
      </c>
      <c r="B75" s="60">
        <v>1.7044952751037712</v>
      </c>
      <c r="C75" s="61">
        <v>343980</v>
      </c>
      <c r="D75" s="60">
        <v>28.11742695478425</v>
      </c>
    </row>
    <row r="76" spans="1:4" x14ac:dyDescent="0.25">
      <c r="A76" s="62">
        <v>46153</v>
      </c>
      <c r="B76" s="60">
        <v>4.7955488828049102</v>
      </c>
      <c r="C76" s="61">
        <v>198930</v>
      </c>
      <c r="D76" s="60">
        <v>29.095743671589599</v>
      </c>
    </row>
    <row r="77" spans="1:4" x14ac:dyDescent="0.25">
      <c r="A77" s="62">
        <v>46150</v>
      </c>
      <c r="B77" s="60">
        <v>5.5374017486531839</v>
      </c>
      <c r="C77" s="61">
        <v>258727</v>
      </c>
      <c r="D77" s="60">
        <v>30.04457596585204</v>
      </c>
    </row>
    <row r="78" spans="1:4" x14ac:dyDescent="0.25">
      <c r="A78" s="62">
        <v>46149</v>
      </c>
      <c r="B78" s="60">
        <v>7.268391768965822</v>
      </c>
      <c r="C78" s="61">
        <v>227651</v>
      </c>
      <c r="D78" s="60">
        <v>31.022056655008054</v>
      </c>
    </row>
    <row r="79" spans="1:4" x14ac:dyDescent="0.25">
      <c r="A79" s="62">
        <v>46148</v>
      </c>
      <c r="B79" s="60">
        <v>6.8003179369425064</v>
      </c>
      <c r="C79" s="61">
        <v>355092</v>
      </c>
      <c r="D79" s="60">
        <v>30.459865067414906</v>
      </c>
    </row>
    <row r="80" spans="1:4" x14ac:dyDescent="0.25">
      <c r="A80" s="62">
        <v>46147</v>
      </c>
      <c r="B80" s="60">
        <v>5.6522123112249405</v>
      </c>
      <c r="C80" s="61">
        <v>350047</v>
      </c>
      <c r="D80" s="60">
        <v>27.324620871302411</v>
      </c>
    </row>
    <row r="81" spans="1:4" x14ac:dyDescent="0.25">
      <c r="A81" s="62">
        <v>46146</v>
      </c>
      <c r="B81" s="60">
        <v>3.8417380552857017</v>
      </c>
      <c r="C81" s="61">
        <v>461238</v>
      </c>
      <c r="D81" s="60">
        <v>26.950860121504089</v>
      </c>
    </row>
    <row r="82" spans="1:4" hidden="1" x14ac:dyDescent="0.25">
      <c r="A82" s="62">
        <v>46143</v>
      </c>
      <c r="B82" s="63" t="s">
        <v>108</v>
      </c>
      <c r="C82" s="63" t="s">
        <v>108</v>
      </c>
      <c r="D82" s="60">
        <v>26.599723425557951</v>
      </c>
    </row>
    <row r="83" spans="1:4" x14ac:dyDescent="0.25">
      <c r="A83" s="62">
        <v>46142</v>
      </c>
      <c r="B83" s="60">
        <v>2.3227059966439989</v>
      </c>
      <c r="C83" s="61">
        <v>719688</v>
      </c>
      <c r="D83" s="60">
        <v>26.576982457294697</v>
      </c>
    </row>
    <row r="84" spans="1:4" x14ac:dyDescent="0.25">
      <c r="A84" s="62">
        <v>46141</v>
      </c>
      <c r="B84" s="60">
        <v>4.5041066855073746</v>
      </c>
      <c r="C84" s="61">
        <v>361932</v>
      </c>
      <c r="D84" s="60">
        <v>28.466715472658521</v>
      </c>
    </row>
    <row r="85" spans="1:4" x14ac:dyDescent="0.25">
      <c r="A85" s="62">
        <v>46140</v>
      </c>
      <c r="B85" s="60">
        <v>4.3628013777267505</v>
      </c>
      <c r="C85" s="61">
        <v>509322</v>
      </c>
      <c r="D85" s="60">
        <v>26.679354937199619</v>
      </c>
    </row>
    <row r="86" spans="1:4" x14ac:dyDescent="0.25">
      <c r="A86" s="62">
        <v>46139</v>
      </c>
      <c r="B86" s="60">
        <v>6.0672966528305219</v>
      </c>
      <c r="C86" s="61">
        <v>567601</v>
      </c>
      <c r="D86" s="60">
        <v>27.626031515294038</v>
      </c>
    </row>
    <row r="87" spans="1:4" x14ac:dyDescent="0.25">
      <c r="A87" s="62">
        <v>46136</v>
      </c>
      <c r="B87" s="60">
        <v>5.9613176719950545</v>
      </c>
      <c r="C87" s="61">
        <v>349586</v>
      </c>
      <c r="D87" s="60">
        <v>27.093450286705806</v>
      </c>
    </row>
    <row r="88" spans="1:4" x14ac:dyDescent="0.25">
      <c r="A88" s="62">
        <v>46135</v>
      </c>
      <c r="B88" s="60">
        <v>7.4538549854278902</v>
      </c>
      <c r="C88" s="61">
        <v>227223</v>
      </c>
      <c r="D88" s="60">
        <v>27.14617625408296</v>
      </c>
    </row>
    <row r="89" spans="1:4" x14ac:dyDescent="0.25">
      <c r="A89" s="62">
        <v>46134</v>
      </c>
      <c r="B89" s="60">
        <v>7.6834761105714033</v>
      </c>
      <c r="C89" s="61">
        <v>312307</v>
      </c>
      <c r="D89" s="60">
        <v>29.446523357330726</v>
      </c>
    </row>
    <row r="90" spans="1:4" x14ac:dyDescent="0.25">
      <c r="A90" s="62">
        <v>46133</v>
      </c>
      <c r="B90" s="60">
        <v>6.3234125231829017</v>
      </c>
      <c r="C90" s="61">
        <v>320111</v>
      </c>
      <c r="D90" s="60">
        <v>29.526239739728062</v>
      </c>
    </row>
    <row r="91" spans="1:4" x14ac:dyDescent="0.25">
      <c r="A91" s="62">
        <v>46132</v>
      </c>
      <c r="B91" s="60">
        <v>5.2459595513556474</v>
      </c>
      <c r="C91" s="61">
        <v>335624</v>
      </c>
      <c r="D91" s="60">
        <v>29.038232097222874</v>
      </c>
    </row>
    <row r="92" spans="1:4" x14ac:dyDescent="0.25">
      <c r="A92" s="62">
        <v>46129</v>
      </c>
      <c r="B92" s="60">
        <v>4.9721805175306901</v>
      </c>
      <c r="C92" s="61">
        <v>165109</v>
      </c>
      <c r="D92" s="60">
        <v>29.336432236218243</v>
      </c>
    </row>
    <row r="93" spans="1:4" x14ac:dyDescent="0.25">
      <c r="A93" s="62">
        <v>46128</v>
      </c>
      <c r="B93" s="60">
        <v>4.4422856133533513</v>
      </c>
      <c r="C93" s="61">
        <v>308549</v>
      </c>
      <c r="D93" s="60">
        <v>29.533632096549887</v>
      </c>
    </row>
    <row r="94" spans="1:4" x14ac:dyDescent="0.25">
      <c r="A94" s="62">
        <v>46127</v>
      </c>
      <c r="B94" s="60">
        <v>4.080190762165504</v>
      </c>
      <c r="C94" s="61">
        <v>274811</v>
      </c>
      <c r="D94" s="60">
        <v>27.880264954638896</v>
      </c>
    </row>
    <row r="95" spans="1:4" hidden="1" x14ac:dyDescent="0.25">
      <c r="A95" s="62">
        <v>46126</v>
      </c>
      <c r="B95" s="63" t="s">
        <v>108</v>
      </c>
      <c r="C95" s="63" t="s">
        <v>108</v>
      </c>
      <c r="D95" s="60">
        <v>27.85619611624703</v>
      </c>
    </row>
    <row r="96" spans="1:4" x14ac:dyDescent="0.25">
      <c r="A96" s="62">
        <v>46125</v>
      </c>
      <c r="B96" s="60">
        <v>1.5808531307957254</v>
      </c>
      <c r="C96" s="61">
        <v>220442</v>
      </c>
      <c r="D96" s="60">
        <v>26.164853076667796</v>
      </c>
    </row>
    <row r="97" spans="1:4" x14ac:dyDescent="0.25">
      <c r="A97" s="62">
        <v>46122</v>
      </c>
      <c r="B97" s="60">
        <v>2.349200741852866</v>
      </c>
      <c r="C97" s="61">
        <v>420339</v>
      </c>
      <c r="D97" s="60">
        <v>25.801805291907961</v>
      </c>
    </row>
    <row r="98" spans="1:4" x14ac:dyDescent="0.25">
      <c r="A98" s="62">
        <v>46121</v>
      </c>
      <c r="B98" s="60">
        <v>1.1039477170361212</v>
      </c>
      <c r="C98" s="61">
        <v>330553</v>
      </c>
      <c r="D98" s="60">
        <v>25.101101194363473</v>
      </c>
    </row>
    <row r="99" spans="1:4" x14ac:dyDescent="0.25">
      <c r="A99" s="62">
        <v>46120</v>
      </c>
      <c r="B99" s="60">
        <v>2.4728428861609113</v>
      </c>
      <c r="C99" s="61">
        <v>612764</v>
      </c>
      <c r="D99" s="60">
        <v>25.143125484972522</v>
      </c>
    </row>
    <row r="100" spans="1:4" x14ac:dyDescent="0.25">
      <c r="A100" s="62">
        <v>46119</v>
      </c>
      <c r="B100" s="60">
        <v>-3.4178221319438311</v>
      </c>
      <c r="C100" s="61">
        <v>263658</v>
      </c>
      <c r="D100" s="60">
        <v>19.596387280689889</v>
      </c>
    </row>
    <row r="101" spans="1:4" x14ac:dyDescent="0.25">
      <c r="A101" s="62">
        <v>46118</v>
      </c>
      <c r="B101" s="60">
        <v>-3.2500220789543408</v>
      </c>
      <c r="C101" s="61">
        <v>374420</v>
      </c>
      <c r="D101" s="60">
        <v>18.943146529591637</v>
      </c>
    </row>
    <row r="102" spans="1:4" hidden="1" x14ac:dyDescent="0.25">
      <c r="A102" s="62">
        <v>46115</v>
      </c>
      <c r="B102" s="63" t="s">
        <v>108</v>
      </c>
      <c r="C102" s="63" t="s">
        <v>108</v>
      </c>
      <c r="D102" s="60">
        <v>18.3659536499888</v>
      </c>
    </row>
    <row r="103" spans="1:4" x14ac:dyDescent="0.25">
      <c r="A103" s="62">
        <v>46114</v>
      </c>
      <c r="B103" s="60">
        <v>-6.2086019606111451</v>
      </c>
      <c r="C103" s="61">
        <v>333524</v>
      </c>
      <c r="D103" s="60">
        <v>18.371797211494016</v>
      </c>
    </row>
    <row r="104" spans="1:4" x14ac:dyDescent="0.25">
      <c r="A104" s="62">
        <v>46113</v>
      </c>
      <c r="B104" s="60">
        <v>-5.3784332773999823</v>
      </c>
      <c r="C104" s="61">
        <v>431636</v>
      </c>
      <c r="D104" s="60">
        <v>19.04848837543264</v>
      </c>
    </row>
    <row r="105" spans="1:4" hidden="1" x14ac:dyDescent="0.25">
      <c r="A105" s="62">
        <v>46112</v>
      </c>
      <c r="B105" s="63" t="s">
        <v>108</v>
      </c>
      <c r="C105" s="63" t="s">
        <v>108</v>
      </c>
      <c r="D105" s="60">
        <v>15.636996428484494</v>
      </c>
    </row>
    <row r="106" spans="1:4" x14ac:dyDescent="0.25">
      <c r="A106" s="62">
        <v>46111</v>
      </c>
      <c r="B106" s="60">
        <v>-5.1046542435750242</v>
      </c>
      <c r="C106" s="61">
        <v>632265</v>
      </c>
      <c r="D106" s="60">
        <v>17.244201512405542</v>
      </c>
    </row>
    <row r="107" spans="1:4" x14ac:dyDescent="0.25">
      <c r="A107" s="62">
        <v>46108</v>
      </c>
      <c r="B107" s="60">
        <v>-2.4198533957431776</v>
      </c>
      <c r="C107" s="61">
        <v>418469</v>
      </c>
      <c r="D107" s="60">
        <v>16.687701112861159</v>
      </c>
    </row>
    <row r="108" spans="1:4" hidden="1" x14ac:dyDescent="0.25">
      <c r="A108" s="62">
        <v>46107</v>
      </c>
      <c r="B108" s="63" t="s">
        <v>108</v>
      </c>
      <c r="C108" s="63" t="s">
        <v>108</v>
      </c>
      <c r="D108" s="60">
        <v>17.011530082565852</v>
      </c>
    </row>
    <row r="109" spans="1:4" x14ac:dyDescent="0.25">
      <c r="A109" s="62">
        <v>46106</v>
      </c>
      <c r="B109" s="60">
        <v>-1.0509582266183874</v>
      </c>
      <c r="C109" s="61">
        <v>456437</v>
      </c>
      <c r="D109" s="60">
        <v>18.256466815962561</v>
      </c>
    </row>
    <row r="110" spans="1:4" x14ac:dyDescent="0.25">
      <c r="A110" s="62">
        <v>46105</v>
      </c>
      <c r="B110" s="60">
        <v>-4.9368541905855334</v>
      </c>
      <c r="C110" s="61">
        <v>369647</v>
      </c>
      <c r="D110" s="60">
        <v>15.499209686808687</v>
      </c>
    </row>
    <row r="111" spans="1:4" x14ac:dyDescent="0.25">
      <c r="A111" s="62">
        <v>46104</v>
      </c>
      <c r="B111" s="60">
        <v>-8.4871500485736995</v>
      </c>
      <c r="C111" s="61">
        <v>644386</v>
      </c>
      <c r="D111" s="60">
        <v>12.654318130938291</v>
      </c>
    </row>
    <row r="112" spans="1:4" x14ac:dyDescent="0.25">
      <c r="A112" s="62">
        <v>46101</v>
      </c>
      <c r="B112" s="60">
        <v>-3.435485295416409</v>
      </c>
      <c r="C112" s="61">
        <v>365914</v>
      </c>
      <c r="D112" s="60">
        <v>17.340677500827262</v>
      </c>
    </row>
    <row r="113" spans="1:4" x14ac:dyDescent="0.25">
      <c r="A113" s="62">
        <v>46100</v>
      </c>
      <c r="B113" s="60">
        <v>-4.4952751037710854</v>
      </c>
      <c r="C113" s="61">
        <v>283817</v>
      </c>
      <c r="D113" s="60">
        <v>18.392308802715714</v>
      </c>
    </row>
    <row r="114" spans="1:4" x14ac:dyDescent="0.25">
      <c r="A114" s="62">
        <v>46099</v>
      </c>
      <c r="B114" s="60">
        <v>-0.67120021195796165</v>
      </c>
      <c r="C114" s="61">
        <v>211865</v>
      </c>
      <c r="D114" s="60">
        <v>22.915488867322431</v>
      </c>
    </row>
    <row r="115" spans="1:4" x14ac:dyDescent="0.25">
      <c r="A115" s="62">
        <v>46098</v>
      </c>
      <c r="B115" s="60">
        <v>-1.8281374194118167</v>
      </c>
      <c r="C115" s="61">
        <v>332933</v>
      </c>
      <c r="D115" s="60">
        <v>22.577379751196656</v>
      </c>
    </row>
    <row r="116" spans="1:4" x14ac:dyDescent="0.25">
      <c r="A116" s="62">
        <v>46097</v>
      </c>
      <c r="B116" s="60">
        <v>-1.9782743089287291</v>
      </c>
      <c r="C116" s="61">
        <v>728077</v>
      </c>
      <c r="D116" s="60">
        <v>22.381712596871566</v>
      </c>
    </row>
    <row r="117" spans="1:4" x14ac:dyDescent="0.25">
      <c r="A117" s="62">
        <v>46094</v>
      </c>
      <c r="B117" s="60">
        <v>-6.2439282875563009</v>
      </c>
      <c r="C117" s="61">
        <v>723904</v>
      </c>
      <c r="D117" s="60">
        <v>23.59924700396019</v>
      </c>
    </row>
    <row r="118" spans="1:4" x14ac:dyDescent="0.25">
      <c r="A118" s="62">
        <v>46093</v>
      </c>
      <c r="B118" s="60">
        <v>-2.0665901262916186</v>
      </c>
      <c r="C118" s="61">
        <v>535730</v>
      </c>
      <c r="D118" s="60">
        <v>26.840901956344265</v>
      </c>
    </row>
    <row r="119" spans="1:4" x14ac:dyDescent="0.25">
      <c r="A119" s="62">
        <v>46092</v>
      </c>
      <c r="B119" s="60">
        <v>1.2275898613441667</v>
      </c>
      <c r="C119" s="61">
        <v>231139</v>
      </c>
      <c r="D119" s="60">
        <v>27.428478832640938</v>
      </c>
    </row>
    <row r="120" spans="1:4" x14ac:dyDescent="0.25">
      <c r="A120" s="62">
        <v>46091</v>
      </c>
      <c r="B120" s="60">
        <v>2.9232535547116489</v>
      </c>
      <c r="C120" s="61">
        <v>460885</v>
      </c>
      <c r="D120" s="60">
        <v>27.099495431059097</v>
      </c>
    </row>
    <row r="121" spans="1:4" x14ac:dyDescent="0.25">
      <c r="A121" s="62">
        <v>46090</v>
      </c>
      <c r="B121" s="60">
        <v>0.48573699549589333</v>
      </c>
      <c r="C121" s="61">
        <v>590742</v>
      </c>
      <c r="D121" s="60">
        <v>24.838452486439028</v>
      </c>
    </row>
    <row r="122" spans="1:4" x14ac:dyDescent="0.25">
      <c r="A122" s="62">
        <v>46087</v>
      </c>
      <c r="B122" s="60">
        <v>5.8641702728958753</v>
      </c>
      <c r="C122" s="61">
        <v>296585</v>
      </c>
      <c r="D122" s="60">
        <v>28.42727972463069</v>
      </c>
    </row>
    <row r="123" spans="1:4" x14ac:dyDescent="0.25">
      <c r="A123" s="62">
        <v>46086</v>
      </c>
      <c r="B123" s="60">
        <v>8.5224763755188562</v>
      </c>
      <c r="C123" s="61">
        <v>284992</v>
      </c>
      <c r="D123" s="60">
        <v>28.633978448236569</v>
      </c>
    </row>
    <row r="124" spans="1:4" x14ac:dyDescent="0.25">
      <c r="A124" s="62">
        <v>46085</v>
      </c>
      <c r="B124" s="60">
        <v>6.9239600812505522</v>
      </c>
      <c r="C124" s="61">
        <v>394665</v>
      </c>
      <c r="D124" s="60">
        <v>27.743189850367688</v>
      </c>
    </row>
    <row r="125" spans="1:4" hidden="1" x14ac:dyDescent="0.25">
      <c r="A125" s="62">
        <v>46084</v>
      </c>
      <c r="B125" s="63" t="s">
        <v>108</v>
      </c>
      <c r="C125" s="63" t="s">
        <v>108</v>
      </c>
      <c r="D125" s="60">
        <v>31.495064951677612</v>
      </c>
    </row>
    <row r="126" spans="1:4" x14ac:dyDescent="0.25">
      <c r="A126" s="62">
        <v>46083</v>
      </c>
      <c r="B126" s="60">
        <v>10.580234920074185</v>
      </c>
      <c r="C126" s="61">
        <v>237506</v>
      </c>
      <c r="D126" s="60">
        <v>35.281401200662081</v>
      </c>
    </row>
    <row r="127" spans="1:4" x14ac:dyDescent="0.25">
      <c r="A127" s="62">
        <v>46080</v>
      </c>
      <c r="B127" s="60">
        <v>11.957961670935264</v>
      </c>
      <c r="C127" s="61">
        <v>272915</v>
      </c>
      <c r="D127" s="60">
        <v>35.449702466332369</v>
      </c>
    </row>
    <row r="128" spans="1:4" x14ac:dyDescent="0.25">
      <c r="A128" s="62">
        <v>46079</v>
      </c>
      <c r="B128" s="60">
        <v>14.254172922370396</v>
      </c>
      <c r="C128" s="61">
        <v>209041</v>
      </c>
      <c r="D128" s="60">
        <v>35.387573823682281</v>
      </c>
    </row>
    <row r="129" spans="1:4" x14ac:dyDescent="0.25">
      <c r="A129" s="62">
        <v>46078</v>
      </c>
      <c r="B129" s="60">
        <v>15.17265742294445</v>
      </c>
      <c r="C129" s="61">
        <v>201537</v>
      </c>
      <c r="D129" s="60">
        <v>35.967722970278849</v>
      </c>
    </row>
    <row r="130" spans="1:4" x14ac:dyDescent="0.25">
      <c r="A130" s="62">
        <v>46077</v>
      </c>
      <c r="B130" s="60">
        <v>14.457299302305042</v>
      </c>
      <c r="C130" s="61">
        <v>332450</v>
      </c>
      <c r="D130" s="60">
        <v>32.91768703458893</v>
      </c>
    </row>
    <row r="131" spans="1:4" x14ac:dyDescent="0.25">
      <c r="A131" s="62">
        <v>46076</v>
      </c>
      <c r="B131" s="60">
        <v>14.598604610085665</v>
      </c>
      <c r="C131" s="61">
        <v>134369</v>
      </c>
      <c r="D131" s="60">
        <v>31.900883223994679</v>
      </c>
    </row>
    <row r="132" spans="1:4" x14ac:dyDescent="0.25">
      <c r="A132" s="62">
        <v>46073</v>
      </c>
      <c r="B132" s="60">
        <v>12.743972445464983</v>
      </c>
      <c r="C132" s="61">
        <v>120589</v>
      </c>
      <c r="D132" s="60">
        <v>30.191401780284085</v>
      </c>
    </row>
    <row r="133" spans="1:4" x14ac:dyDescent="0.25">
      <c r="A133" s="62">
        <v>46072</v>
      </c>
      <c r="B133" s="60">
        <v>12.055109070034444</v>
      </c>
      <c r="C133" s="61">
        <v>195303</v>
      </c>
      <c r="D133" s="60">
        <v>30.543217453193783</v>
      </c>
    </row>
    <row r="134" spans="1:4" x14ac:dyDescent="0.25">
      <c r="A134" s="62">
        <v>46071</v>
      </c>
      <c r="B134" s="60">
        <v>15.269804822043628</v>
      </c>
      <c r="C134" s="61">
        <v>161603</v>
      </c>
      <c r="D134" s="60">
        <v>31.010647550987805</v>
      </c>
    </row>
    <row r="135" spans="1:4" x14ac:dyDescent="0.25">
      <c r="A135" s="62">
        <v>46070</v>
      </c>
      <c r="B135" s="60">
        <v>14.669257263975979</v>
      </c>
      <c r="C135" s="61">
        <v>136174</v>
      </c>
      <c r="D135" s="60">
        <v>30.694132899168249</v>
      </c>
    </row>
    <row r="136" spans="1:4" x14ac:dyDescent="0.25">
      <c r="A136" s="62">
        <v>46069</v>
      </c>
      <c r="B136" s="60">
        <v>14.64276251876711</v>
      </c>
      <c r="C136" s="61">
        <v>81768</v>
      </c>
      <c r="D136" s="60">
        <v>30.769665967642133</v>
      </c>
    </row>
    <row r="137" spans="1:4" x14ac:dyDescent="0.25">
      <c r="A137" s="62">
        <v>46066</v>
      </c>
      <c r="B137" s="60">
        <v>14.483794047513909</v>
      </c>
      <c r="C137" s="61">
        <v>178236</v>
      </c>
      <c r="D137" s="60">
        <v>29.56153918626449</v>
      </c>
    </row>
    <row r="138" spans="1:4" x14ac:dyDescent="0.25">
      <c r="A138" s="62">
        <v>46065</v>
      </c>
      <c r="B138" s="60">
        <v>15.066678442108982</v>
      </c>
      <c r="C138" s="61">
        <v>179716</v>
      </c>
      <c r="D138" s="60">
        <v>33.129311780748097</v>
      </c>
    </row>
    <row r="139" spans="1:4" x14ac:dyDescent="0.25">
      <c r="A139" s="62">
        <v>46064</v>
      </c>
      <c r="B139" s="60">
        <v>14.536783537931644</v>
      </c>
      <c r="C139" s="61">
        <v>92473</v>
      </c>
      <c r="D139" s="60">
        <v>32.581713197522014</v>
      </c>
    </row>
    <row r="140" spans="1:4" x14ac:dyDescent="0.25">
      <c r="A140" s="62">
        <v>46063</v>
      </c>
      <c r="B140" s="60">
        <v>15.013688951691249</v>
      </c>
      <c r="C140" s="61">
        <v>167157</v>
      </c>
      <c r="D140" s="60">
        <v>30.461543278158082</v>
      </c>
    </row>
    <row r="141" spans="1:4" x14ac:dyDescent="0.25">
      <c r="A141" s="62">
        <v>46062</v>
      </c>
      <c r="B141" s="60">
        <v>15.234478495098472</v>
      </c>
      <c r="C141" s="61">
        <v>235298</v>
      </c>
      <c r="D141" s="60">
        <v>30.025632882089393</v>
      </c>
    </row>
    <row r="142" spans="1:4" x14ac:dyDescent="0.25">
      <c r="A142" s="62">
        <v>46059</v>
      </c>
      <c r="B142" s="60">
        <v>12.355382849068269</v>
      </c>
      <c r="C142" s="61">
        <v>124704</v>
      </c>
      <c r="D142" s="60">
        <v>26.822298139766843</v>
      </c>
    </row>
    <row r="143" spans="1:4" x14ac:dyDescent="0.25">
      <c r="A143" s="62">
        <v>46058</v>
      </c>
      <c r="B143" s="60">
        <v>12.805793517619005</v>
      </c>
      <c r="C143" s="61">
        <v>172331</v>
      </c>
      <c r="D143" s="60">
        <v>27.640897650574683</v>
      </c>
    </row>
    <row r="144" spans="1:4" x14ac:dyDescent="0.25">
      <c r="A144" s="62">
        <v>46057</v>
      </c>
      <c r="B144" s="60">
        <v>13.097235714916541</v>
      </c>
      <c r="C144" s="61">
        <v>159977</v>
      </c>
      <c r="D144" s="60">
        <v>30.377595373872754</v>
      </c>
    </row>
    <row r="145" spans="1:4" x14ac:dyDescent="0.25">
      <c r="A145" s="62">
        <v>46056</v>
      </c>
      <c r="B145" s="60">
        <v>11.189614059878124</v>
      </c>
      <c r="C145" s="61">
        <v>296810</v>
      </c>
      <c r="D145" s="60">
        <v>28.669051331950538</v>
      </c>
    </row>
    <row r="146" spans="1:4" x14ac:dyDescent="0.25">
      <c r="A146" s="62">
        <v>46055</v>
      </c>
      <c r="B146" s="60">
        <v>10.703877064382231</v>
      </c>
      <c r="C146" s="61">
        <v>259656</v>
      </c>
      <c r="D146" s="60">
        <v>24.333126347842029</v>
      </c>
    </row>
    <row r="147" spans="1:4" x14ac:dyDescent="0.25">
      <c r="A147" s="62">
        <v>46054</v>
      </c>
      <c r="B147" s="60">
        <v>8.4871500485736995</v>
      </c>
      <c r="C147" s="61">
        <v>202576</v>
      </c>
      <c r="D147" s="63" t="s">
        <v>108</v>
      </c>
    </row>
    <row r="148" spans="1:4" x14ac:dyDescent="0.25">
      <c r="A148" s="62">
        <v>46052</v>
      </c>
      <c r="B148" s="60">
        <v>12.108098560452177</v>
      </c>
      <c r="C148" s="61">
        <v>296876</v>
      </c>
      <c r="D148" s="60">
        <v>30.050310528682818</v>
      </c>
    </row>
    <row r="149" spans="1:4" x14ac:dyDescent="0.25">
      <c r="A149" s="62">
        <v>46051</v>
      </c>
      <c r="B149" s="60">
        <v>12.311224940386824</v>
      </c>
      <c r="C149" s="61">
        <v>285262</v>
      </c>
      <c r="D149" s="60">
        <v>35.185253776255834</v>
      </c>
    </row>
    <row r="150" spans="1:4" x14ac:dyDescent="0.25">
      <c r="A150" s="62">
        <v>46050</v>
      </c>
      <c r="B150" s="60">
        <v>12.752804027201272</v>
      </c>
      <c r="C150" s="61">
        <v>456847</v>
      </c>
      <c r="D150" s="60">
        <v>34.855799815321689</v>
      </c>
    </row>
    <row r="151" spans="1:4" x14ac:dyDescent="0.25">
      <c r="A151" s="62">
        <v>46049</v>
      </c>
      <c r="B151" s="60">
        <v>11.180782478141834</v>
      </c>
      <c r="C151" s="61">
        <v>926373</v>
      </c>
      <c r="D151" s="60">
        <v>32.105536668878429</v>
      </c>
    </row>
    <row r="152" spans="1:4" hidden="1" x14ac:dyDescent="0.25">
      <c r="A152" s="62">
        <v>46048</v>
      </c>
      <c r="B152" s="63" t="s">
        <v>108</v>
      </c>
      <c r="C152" s="63" t="s">
        <v>108</v>
      </c>
      <c r="D152" s="60">
        <v>31.451616184561271</v>
      </c>
    </row>
    <row r="153" spans="1:4" x14ac:dyDescent="0.25">
      <c r="A153" s="62">
        <v>46045</v>
      </c>
      <c r="B153" s="60">
        <v>9.2378344961582624</v>
      </c>
      <c r="C153" s="61">
        <v>356421</v>
      </c>
      <c r="D153" s="60">
        <v>29.02506675478767</v>
      </c>
    </row>
    <row r="154" spans="1:4" x14ac:dyDescent="0.25">
      <c r="A154" s="62">
        <v>46044</v>
      </c>
      <c r="B154" s="60">
        <v>9.1936765874768174</v>
      </c>
      <c r="C154" s="61">
        <v>286236</v>
      </c>
      <c r="D154" s="60">
        <v>28.573195960453077</v>
      </c>
    </row>
    <row r="155" spans="1:4" x14ac:dyDescent="0.25">
      <c r="A155" s="62">
        <v>46043</v>
      </c>
      <c r="B155" s="60">
        <v>8.0190762165503848</v>
      </c>
      <c r="C155" s="61">
        <v>209393</v>
      </c>
      <c r="D155" s="60">
        <v>28.000398617052884</v>
      </c>
    </row>
    <row r="156" spans="1:4" x14ac:dyDescent="0.25">
      <c r="A156" s="62">
        <v>46042</v>
      </c>
      <c r="B156" s="60">
        <v>6.5000441579086816</v>
      </c>
      <c r="C156" s="61">
        <v>298026</v>
      </c>
      <c r="D156" s="60">
        <v>27.421760291380785</v>
      </c>
    </row>
    <row r="157" spans="1:4" x14ac:dyDescent="0.25">
      <c r="A157" s="62">
        <v>46041</v>
      </c>
      <c r="B157" s="60">
        <v>8.6019606111454561</v>
      </c>
      <c r="C157" s="61">
        <v>257602</v>
      </c>
      <c r="D157" s="60">
        <v>28.23709275678808</v>
      </c>
    </row>
    <row r="158" spans="1:4" x14ac:dyDescent="0.25">
      <c r="A158" s="62">
        <v>46038</v>
      </c>
      <c r="B158" s="60">
        <v>9.3173187317848623</v>
      </c>
      <c r="C158" s="61">
        <v>454481</v>
      </c>
      <c r="D158" s="60">
        <v>27.598831677566555</v>
      </c>
    </row>
    <row r="159" spans="1:4" hidden="1" x14ac:dyDescent="0.25">
      <c r="A159" s="62">
        <v>46037</v>
      </c>
      <c r="B159" s="63" t="s">
        <v>108</v>
      </c>
      <c r="C159" s="63" t="s">
        <v>108</v>
      </c>
      <c r="D159" s="60">
        <v>28.473476728602179</v>
      </c>
    </row>
    <row r="160" spans="1:4" x14ac:dyDescent="0.25">
      <c r="A160" s="62">
        <v>46036</v>
      </c>
      <c r="B160" s="60">
        <v>8.2310341782213197</v>
      </c>
      <c r="C160" s="61">
        <v>408660</v>
      </c>
      <c r="D160" s="60">
        <v>27.728708020999004</v>
      </c>
    </row>
    <row r="161" spans="1:4" x14ac:dyDescent="0.25">
      <c r="A161" s="62">
        <v>46035</v>
      </c>
      <c r="B161" s="60">
        <v>6.3675704318643467</v>
      </c>
      <c r="C161" s="61">
        <v>290750</v>
      </c>
      <c r="D161" s="60">
        <v>26.491353782954938</v>
      </c>
    </row>
    <row r="162" spans="1:4" x14ac:dyDescent="0.25">
      <c r="A162" s="62">
        <v>46034</v>
      </c>
      <c r="B162" s="60">
        <v>6.8444758456239514</v>
      </c>
      <c r="C162" s="61">
        <v>275484</v>
      </c>
      <c r="D162" s="60">
        <v>26.119769920875367</v>
      </c>
    </row>
    <row r="163" spans="1:4" x14ac:dyDescent="0.25">
      <c r="A163" s="62">
        <v>46031</v>
      </c>
      <c r="B163" s="60">
        <v>5.4225911860814273</v>
      </c>
      <c r="C163" s="61">
        <v>263833</v>
      </c>
      <c r="D163" s="60">
        <v>24.602281684261172</v>
      </c>
    </row>
    <row r="164" spans="1:4" x14ac:dyDescent="0.25">
      <c r="A164" s="62">
        <v>46030</v>
      </c>
      <c r="B164" s="60">
        <v>6.5442020665901266</v>
      </c>
      <c r="C164" s="61">
        <v>229175</v>
      </c>
      <c r="D164" s="60">
        <v>24.084259074637103</v>
      </c>
    </row>
    <row r="165" spans="1:4" x14ac:dyDescent="0.25">
      <c r="A165" s="62">
        <v>46029</v>
      </c>
      <c r="B165" s="60">
        <v>7.6039918749448026</v>
      </c>
      <c r="C165" s="61">
        <v>246825</v>
      </c>
      <c r="D165" s="60">
        <v>25.963816183318404</v>
      </c>
    </row>
    <row r="166" spans="1:4" x14ac:dyDescent="0.25">
      <c r="A166" s="62">
        <v>46028</v>
      </c>
      <c r="B166" s="60">
        <v>7.7806235096705816</v>
      </c>
      <c r="C166" s="61">
        <v>225766</v>
      </c>
      <c r="D166" s="60">
        <v>25.074083421877859</v>
      </c>
    </row>
    <row r="167" spans="1:4" x14ac:dyDescent="0.25">
      <c r="A167" s="62">
        <v>46027</v>
      </c>
      <c r="B167" s="60">
        <v>6.7473284465247723</v>
      </c>
      <c r="C167" s="61">
        <v>302803</v>
      </c>
      <c r="D167" s="60">
        <v>22.708866809350145</v>
      </c>
    </row>
    <row r="168" spans="1:4" x14ac:dyDescent="0.25">
      <c r="A168" s="62">
        <v>46024</v>
      </c>
      <c r="B168" s="60">
        <v>5.0869910801024467</v>
      </c>
      <c r="C168" s="61">
        <v>206244</v>
      </c>
      <c r="D168" s="60">
        <v>22.198121650300401</v>
      </c>
    </row>
    <row r="169" spans="1:4" x14ac:dyDescent="0.25">
      <c r="A169" s="62">
        <v>46023</v>
      </c>
      <c r="B169" s="60">
        <v>5.1046542435750242</v>
      </c>
      <c r="C169" s="61">
        <v>71887</v>
      </c>
      <c r="D169" s="60">
        <v>21.071066032248481</v>
      </c>
    </row>
    <row r="170" spans="1:4" x14ac:dyDescent="0.25">
      <c r="A170" s="62">
        <v>46022</v>
      </c>
      <c r="B170" s="60">
        <v>4.0713591804292149</v>
      </c>
      <c r="C170" s="61">
        <v>172267</v>
      </c>
      <c r="D170" s="60">
        <v>20.928415655271355</v>
      </c>
    </row>
    <row r="171" spans="1:4" x14ac:dyDescent="0.25">
      <c r="A171" s="62">
        <v>46021</v>
      </c>
      <c r="B171" s="60">
        <v>3.3736642232623861</v>
      </c>
      <c r="C171" s="61">
        <v>236323</v>
      </c>
      <c r="D171" s="60">
        <v>20.295033307313208</v>
      </c>
    </row>
    <row r="172" spans="1:4" x14ac:dyDescent="0.25">
      <c r="A172" s="62">
        <v>46020</v>
      </c>
      <c r="B172" s="60">
        <v>4.2038329064735498</v>
      </c>
      <c r="C172" s="61">
        <v>197600</v>
      </c>
      <c r="D172" s="60">
        <v>19.43802188949811</v>
      </c>
    </row>
    <row r="173" spans="1:4" x14ac:dyDescent="0.25">
      <c r="A173" s="62">
        <v>46017</v>
      </c>
      <c r="B173" s="60">
        <v>4.1596749977921048</v>
      </c>
      <c r="C173" s="61">
        <v>193121</v>
      </c>
      <c r="D173" s="60">
        <v>19.265318117230407</v>
      </c>
    </row>
    <row r="174" spans="1:4" hidden="1" x14ac:dyDescent="0.25">
      <c r="A174" s="62">
        <v>46016</v>
      </c>
      <c r="B174" s="63" t="s">
        <v>108</v>
      </c>
      <c r="C174" s="63" t="s">
        <v>108</v>
      </c>
      <c r="D174" s="60">
        <v>19.191733460317867</v>
      </c>
    </row>
    <row r="175" spans="1:4" x14ac:dyDescent="0.25">
      <c r="A175" s="62">
        <v>46015</v>
      </c>
      <c r="B175" s="60">
        <v>3.8947275457034354</v>
      </c>
      <c r="C175" s="61">
        <v>182050</v>
      </c>
      <c r="D175" s="60">
        <v>19.203716731350145</v>
      </c>
    </row>
    <row r="176" spans="1:4" x14ac:dyDescent="0.25">
      <c r="A176" s="62">
        <v>46014</v>
      </c>
      <c r="B176" s="60">
        <v>3.1352115163825842</v>
      </c>
      <c r="C176" s="61">
        <v>161830</v>
      </c>
      <c r="D176" s="60">
        <v>18.95844320129736</v>
      </c>
    </row>
    <row r="177" spans="1:4" x14ac:dyDescent="0.25">
      <c r="A177" s="62">
        <v>46013</v>
      </c>
      <c r="B177" s="60">
        <v>1.8458005828843946</v>
      </c>
      <c r="C177" s="61">
        <v>170807</v>
      </c>
      <c r="D177" s="60">
        <v>18.543979359330983</v>
      </c>
    </row>
    <row r="178" spans="1:4" x14ac:dyDescent="0.25">
      <c r="A178" s="62">
        <v>46010</v>
      </c>
      <c r="B178" s="60">
        <v>1.5278636403779917</v>
      </c>
      <c r="C178" s="61">
        <v>152956</v>
      </c>
      <c r="D178" s="60">
        <v>16.735187344337252</v>
      </c>
    </row>
    <row r="179" spans="1:4" x14ac:dyDescent="0.25">
      <c r="A179" s="62">
        <v>46009</v>
      </c>
      <c r="B179" s="60">
        <v>1.2187582796078777</v>
      </c>
      <c r="C179" s="61">
        <v>103462</v>
      </c>
      <c r="D179" s="60">
        <v>15.21578791664248</v>
      </c>
    </row>
    <row r="180" spans="1:4" x14ac:dyDescent="0.25">
      <c r="A180" s="62">
        <v>46008</v>
      </c>
      <c r="B180" s="60">
        <v>1.9164532367747062</v>
      </c>
      <c r="C180" s="61">
        <v>205337</v>
      </c>
      <c r="D180" s="60">
        <v>15.493426821764784</v>
      </c>
    </row>
    <row r="181" spans="1:4" x14ac:dyDescent="0.25">
      <c r="A181" s="62">
        <v>46007</v>
      </c>
      <c r="B181" s="60">
        <v>1.8104742559392386</v>
      </c>
      <c r="C181" s="61">
        <v>179690</v>
      </c>
      <c r="D181" s="60">
        <v>14.527318078324823</v>
      </c>
    </row>
    <row r="182" spans="1:4" x14ac:dyDescent="0.25">
      <c r="A182" s="62">
        <v>46006</v>
      </c>
      <c r="B182" s="60">
        <v>3.5767906031970327</v>
      </c>
      <c r="C182" s="61">
        <v>178073</v>
      </c>
      <c r="D182" s="60">
        <v>16.483687885493207</v>
      </c>
    </row>
    <row r="183" spans="1:4" x14ac:dyDescent="0.25">
      <c r="A183" s="62">
        <v>46003</v>
      </c>
      <c r="B183" s="60">
        <v>3.5326326945155877</v>
      </c>
      <c r="C183" s="61">
        <v>389481</v>
      </c>
      <c r="D183" s="60">
        <v>16.556484339374634</v>
      </c>
    </row>
    <row r="184" spans="1:4" x14ac:dyDescent="0.25">
      <c r="A184" s="62">
        <v>46002</v>
      </c>
      <c r="B184" s="60">
        <v>1.3159056787070564</v>
      </c>
      <c r="C184" s="61">
        <v>196507</v>
      </c>
      <c r="D184" s="60">
        <v>14.466003683286754</v>
      </c>
    </row>
    <row r="185" spans="1:4" x14ac:dyDescent="0.25">
      <c r="A185" s="62">
        <v>46001</v>
      </c>
      <c r="B185" s="60">
        <v>-5.2989490417733813E-2</v>
      </c>
      <c r="C185" s="61">
        <v>272923</v>
      </c>
      <c r="D185" s="60">
        <v>14.872284120113962</v>
      </c>
    </row>
    <row r="186" spans="1:4" x14ac:dyDescent="0.25">
      <c r="A186" s="62">
        <v>46000</v>
      </c>
      <c r="B186" s="60">
        <v>0.80367393800229625</v>
      </c>
      <c r="C186" s="61">
        <v>274482</v>
      </c>
      <c r="D186" s="60">
        <v>14.468472604804212</v>
      </c>
    </row>
    <row r="187" spans="1:4" x14ac:dyDescent="0.25">
      <c r="A187" s="62">
        <v>45999</v>
      </c>
      <c r="B187" s="60">
        <v>1.9164532367747062</v>
      </c>
      <c r="C187" s="61">
        <v>148186</v>
      </c>
      <c r="D187" s="60">
        <v>16.043862789126983</v>
      </c>
    </row>
    <row r="188" spans="1:4" x14ac:dyDescent="0.25">
      <c r="A188" s="62">
        <v>45996</v>
      </c>
      <c r="B188" s="60">
        <v>2.4198533957431776</v>
      </c>
      <c r="C188" s="61">
        <v>226572</v>
      </c>
      <c r="D188" s="60">
        <v>17.032593256711106</v>
      </c>
    </row>
    <row r="189" spans="1:4" x14ac:dyDescent="0.25">
      <c r="A189" s="62">
        <v>45995</v>
      </c>
      <c r="B189" s="60">
        <v>2.5170007948423563</v>
      </c>
      <c r="C189" s="61">
        <v>159687</v>
      </c>
      <c r="D189" s="60">
        <v>15.93199853172041</v>
      </c>
    </row>
    <row r="190" spans="1:4" x14ac:dyDescent="0.25">
      <c r="A190" s="62">
        <v>45994</v>
      </c>
      <c r="B190" s="60">
        <v>2.3668639053254439</v>
      </c>
      <c r="C190" s="61">
        <v>206293</v>
      </c>
      <c r="D190" s="60">
        <v>16.342338069606232</v>
      </c>
    </row>
    <row r="191" spans="1:4" x14ac:dyDescent="0.25">
      <c r="A191" s="62">
        <v>45993</v>
      </c>
      <c r="B191" s="60">
        <v>3.0292325355471164</v>
      </c>
      <c r="C191" s="61">
        <v>190930</v>
      </c>
      <c r="D191" s="60">
        <v>16.279671232002233</v>
      </c>
    </row>
    <row r="192" spans="1:4" x14ac:dyDescent="0.25">
      <c r="A192" s="62">
        <v>45992</v>
      </c>
      <c r="B192" s="60">
        <v>2.9939062086019606</v>
      </c>
      <c r="C192" s="61">
        <v>228729</v>
      </c>
      <c r="D192" s="60">
        <v>16.134746377721864</v>
      </c>
    </row>
    <row r="193" spans="1:4" x14ac:dyDescent="0.25">
      <c r="A193" s="62">
        <v>45989</v>
      </c>
      <c r="B193" s="60">
        <v>2.4463481409520447</v>
      </c>
      <c r="C193" s="61">
        <v>159990</v>
      </c>
      <c r="D193" s="60">
        <v>14.626840164644015</v>
      </c>
    </row>
    <row r="194" spans="1:4" x14ac:dyDescent="0.25">
      <c r="A194" s="62">
        <v>45988</v>
      </c>
      <c r="B194" s="60">
        <v>2.5964850304689571</v>
      </c>
      <c r="C194" s="61">
        <v>275290</v>
      </c>
      <c r="D194" s="60">
        <v>14.101211739523725</v>
      </c>
    </row>
    <row r="195" spans="1:4" x14ac:dyDescent="0.25">
      <c r="A195" s="62">
        <v>45987</v>
      </c>
      <c r="B195" s="60">
        <v>3.8505696370219908</v>
      </c>
      <c r="C195" s="61">
        <v>187481</v>
      </c>
      <c r="D195" s="60">
        <v>13.471445576006374</v>
      </c>
    </row>
    <row r="196" spans="1:4" x14ac:dyDescent="0.25">
      <c r="A196" s="62">
        <v>45986</v>
      </c>
      <c r="B196" s="60">
        <v>2.2697165062262652</v>
      </c>
      <c r="C196" s="61">
        <v>200149</v>
      </c>
      <c r="D196" s="60">
        <v>12.751097256098339</v>
      </c>
    </row>
    <row r="197" spans="1:4" x14ac:dyDescent="0.25">
      <c r="A197" s="62">
        <v>45985</v>
      </c>
      <c r="B197" s="60">
        <v>2.305042833171421</v>
      </c>
      <c r="C197" s="61">
        <v>407297</v>
      </c>
      <c r="D197" s="60">
        <v>12.001318723315746</v>
      </c>
    </row>
    <row r="198" spans="1:4" x14ac:dyDescent="0.25">
      <c r="A198" s="62">
        <v>45982</v>
      </c>
      <c r="B198" s="60">
        <v>3.5856221849333214</v>
      </c>
      <c r="C198" s="61">
        <v>192051</v>
      </c>
      <c r="D198" s="60">
        <v>11.688067264021329</v>
      </c>
    </row>
    <row r="199" spans="1:4" x14ac:dyDescent="0.25">
      <c r="A199" s="62">
        <v>45981</v>
      </c>
      <c r="B199" s="60">
        <v>3.7975801466042567</v>
      </c>
      <c r="C199" s="61">
        <v>185397</v>
      </c>
      <c r="D199" s="60">
        <v>14.9969779383309</v>
      </c>
    </row>
    <row r="200" spans="1:4" x14ac:dyDescent="0.25">
      <c r="A200" s="62">
        <v>45980</v>
      </c>
      <c r="B200" s="60">
        <v>3.0292325355471164</v>
      </c>
      <c r="C200" s="61">
        <v>271396</v>
      </c>
      <c r="D200" s="60">
        <v>15.035314016862944</v>
      </c>
    </row>
    <row r="201" spans="1:4" x14ac:dyDescent="0.25">
      <c r="A201" s="62">
        <v>45979</v>
      </c>
      <c r="B201" s="60">
        <v>3.391327386734964</v>
      </c>
      <c r="C201" s="61">
        <v>318116</v>
      </c>
      <c r="D201" s="60">
        <v>14.752066994689574</v>
      </c>
    </row>
    <row r="202" spans="1:4" x14ac:dyDescent="0.25">
      <c r="A202" s="62">
        <v>45978</v>
      </c>
      <c r="B202" s="60">
        <v>4.0183696900114807</v>
      </c>
      <c r="C202" s="61">
        <v>194379</v>
      </c>
      <c r="D202" s="60">
        <v>17.125475013026065</v>
      </c>
    </row>
    <row r="203" spans="1:4" x14ac:dyDescent="0.25">
      <c r="A203" s="62">
        <v>45975</v>
      </c>
      <c r="B203" s="60">
        <v>4.8662015366952218</v>
      </c>
      <c r="C203" s="61">
        <v>161315</v>
      </c>
      <c r="D203" s="60">
        <v>17.688853398480386</v>
      </c>
    </row>
    <row r="204" spans="1:4" x14ac:dyDescent="0.25">
      <c r="A204" s="62">
        <v>45974</v>
      </c>
      <c r="B204" s="60">
        <v>5.3960964408725607</v>
      </c>
      <c r="C204" s="61">
        <v>174415</v>
      </c>
      <c r="D204" s="60">
        <v>19.29713264593558</v>
      </c>
    </row>
    <row r="205" spans="1:4" x14ac:dyDescent="0.25">
      <c r="A205" s="62">
        <v>45973</v>
      </c>
      <c r="B205" s="60">
        <v>5.2812858783008041</v>
      </c>
      <c r="C205" s="61">
        <v>184542</v>
      </c>
      <c r="D205" s="60">
        <v>17.188672552820268</v>
      </c>
    </row>
    <row r="206" spans="1:4" x14ac:dyDescent="0.25">
      <c r="A206" s="62">
        <v>45972</v>
      </c>
      <c r="B206" s="60">
        <v>4.433454031617063</v>
      </c>
      <c r="C206" s="61">
        <v>125847</v>
      </c>
      <c r="D206" s="60">
        <v>16.722096075354326</v>
      </c>
    </row>
    <row r="207" spans="1:4" x14ac:dyDescent="0.25">
      <c r="A207" s="62">
        <v>45971</v>
      </c>
      <c r="B207" s="60">
        <v>3.5767906031970327</v>
      </c>
      <c r="C207" s="61">
        <v>197085</v>
      </c>
      <c r="D207" s="60">
        <v>16.463153392255695</v>
      </c>
    </row>
    <row r="208" spans="1:4" x14ac:dyDescent="0.25">
      <c r="A208" s="62">
        <v>45968</v>
      </c>
      <c r="B208" s="60">
        <v>4.6454119932879978</v>
      </c>
      <c r="C208" s="61">
        <v>148161</v>
      </c>
      <c r="D208" s="60">
        <v>15.566536217798811</v>
      </c>
    </row>
    <row r="209" spans="1:4" x14ac:dyDescent="0.25">
      <c r="A209" s="62">
        <v>45967</v>
      </c>
      <c r="B209" s="60">
        <v>5.184138479201625</v>
      </c>
      <c r="C209" s="61">
        <v>189652</v>
      </c>
      <c r="D209" s="60">
        <v>14.747343267971027</v>
      </c>
    </row>
    <row r="210" spans="1:4" hidden="1" x14ac:dyDescent="0.25">
      <c r="A210" s="62">
        <v>45966</v>
      </c>
      <c r="B210" s="63" t="s">
        <v>108</v>
      </c>
      <c r="C210" s="63" t="s">
        <v>108</v>
      </c>
      <c r="D210" s="60">
        <v>13.640195732279313</v>
      </c>
    </row>
    <row r="211" spans="1:4" x14ac:dyDescent="0.25">
      <c r="A211" s="62">
        <v>45965</v>
      </c>
      <c r="B211" s="60">
        <v>4.3804645411993288</v>
      </c>
      <c r="C211" s="61">
        <v>199364</v>
      </c>
      <c r="D211" s="60">
        <v>13.159226571524526</v>
      </c>
    </row>
    <row r="212" spans="1:4" x14ac:dyDescent="0.25">
      <c r="A212" s="62">
        <v>45964</v>
      </c>
      <c r="B212" s="60">
        <v>5.5374017486531839</v>
      </c>
      <c r="C212" s="61">
        <v>98394</v>
      </c>
      <c r="D212" s="60">
        <v>15.321778982255944</v>
      </c>
    </row>
    <row r="213" spans="1:4" x14ac:dyDescent="0.25">
      <c r="A213" s="62">
        <v>45961</v>
      </c>
      <c r="B213" s="60">
        <v>5.5109070034443173</v>
      </c>
      <c r="C213" s="61">
        <v>175191</v>
      </c>
      <c r="D213" s="60">
        <v>15.297196487019864</v>
      </c>
    </row>
    <row r="214" spans="1:4" x14ac:dyDescent="0.25">
      <c r="A214" s="62">
        <v>45960</v>
      </c>
      <c r="B214" s="60">
        <v>6.4470546674909475</v>
      </c>
      <c r="C214" s="61">
        <v>159943</v>
      </c>
      <c r="D214" s="60">
        <v>16.474437363092886</v>
      </c>
    </row>
    <row r="215" spans="1:4" x14ac:dyDescent="0.25">
      <c r="A215" s="62">
        <v>45959</v>
      </c>
      <c r="B215" s="60">
        <v>5.9701492537313436</v>
      </c>
      <c r="C215" s="61">
        <v>394272</v>
      </c>
      <c r="D215" s="60">
        <v>15.656703914766084</v>
      </c>
    </row>
    <row r="216" spans="1:4" x14ac:dyDescent="0.25">
      <c r="A216" s="62">
        <v>45958</v>
      </c>
      <c r="B216" s="60">
        <v>5.3696016956636932</v>
      </c>
      <c r="C216" s="61">
        <v>513095</v>
      </c>
      <c r="D216" s="60">
        <v>14.883734071497017</v>
      </c>
    </row>
    <row r="217" spans="1:4" x14ac:dyDescent="0.25">
      <c r="A217" s="62">
        <v>45957</v>
      </c>
      <c r="B217" s="60">
        <v>6.1114545615119669</v>
      </c>
      <c r="C217" s="61">
        <v>408073</v>
      </c>
      <c r="D217" s="60">
        <v>15.841894570739971</v>
      </c>
    </row>
    <row r="218" spans="1:4" x14ac:dyDescent="0.25">
      <c r="A218" s="62">
        <v>45954</v>
      </c>
      <c r="B218" s="60">
        <v>5.2547911330919366</v>
      </c>
      <c r="C218" s="61">
        <v>318840</v>
      </c>
      <c r="D218" s="60">
        <v>14.954817325811161</v>
      </c>
    </row>
    <row r="219" spans="1:4" x14ac:dyDescent="0.25">
      <c r="A219" s="62">
        <v>45953</v>
      </c>
      <c r="B219" s="60">
        <v>7.2595601872295328</v>
      </c>
      <c r="C219" s="61">
        <v>370812</v>
      </c>
      <c r="D219" s="60">
        <v>14.353536721688931</v>
      </c>
    </row>
    <row r="220" spans="1:4" hidden="1" x14ac:dyDescent="0.25">
      <c r="A220" s="62">
        <v>45952</v>
      </c>
      <c r="B220" s="63" t="s">
        <v>108</v>
      </c>
      <c r="C220" s="63" t="s">
        <v>108</v>
      </c>
      <c r="D220" s="60">
        <v>14.068674157417913</v>
      </c>
    </row>
    <row r="221" spans="1:4" x14ac:dyDescent="0.25">
      <c r="A221" s="62">
        <v>45951</v>
      </c>
      <c r="B221" s="60">
        <v>8.9993817892784591</v>
      </c>
      <c r="C221" s="61">
        <v>14465</v>
      </c>
      <c r="D221" s="60">
        <v>14.591275760715931</v>
      </c>
    </row>
    <row r="222" spans="1:4" x14ac:dyDescent="0.25">
      <c r="A222" s="62">
        <v>45950</v>
      </c>
      <c r="B222" s="60">
        <v>9.0347081162236158</v>
      </c>
      <c r="C222" s="61">
        <v>393365</v>
      </c>
      <c r="D222" s="60">
        <v>14.108306189122965</v>
      </c>
    </row>
    <row r="223" spans="1:4" x14ac:dyDescent="0.25">
      <c r="A223" s="62">
        <v>45947</v>
      </c>
      <c r="B223" s="60">
        <v>9.2466660778945506</v>
      </c>
      <c r="C223" s="61">
        <v>182242</v>
      </c>
      <c r="D223" s="60">
        <v>14.285503744646563</v>
      </c>
    </row>
    <row r="224" spans="1:4" x14ac:dyDescent="0.25">
      <c r="A224" s="62">
        <v>45946</v>
      </c>
      <c r="B224" s="60">
        <v>9.1406870970590841</v>
      </c>
      <c r="C224" s="61">
        <v>129372</v>
      </c>
      <c r="D224" s="60">
        <v>15.867426805625563</v>
      </c>
    </row>
    <row r="225" spans="1:4" x14ac:dyDescent="0.25">
      <c r="A225" s="62">
        <v>45945</v>
      </c>
      <c r="B225" s="60">
        <v>8.7256027554535009</v>
      </c>
      <c r="C225" s="61">
        <v>142328</v>
      </c>
      <c r="D225" s="60">
        <v>15.834801701972685</v>
      </c>
    </row>
    <row r="226" spans="1:4" x14ac:dyDescent="0.25">
      <c r="A226" s="62">
        <v>45944</v>
      </c>
      <c r="B226" s="60">
        <v>6.5971915570078599</v>
      </c>
      <c r="C226" s="61">
        <v>129196</v>
      </c>
      <c r="D226" s="60">
        <v>14.134660280459237</v>
      </c>
    </row>
    <row r="227" spans="1:4" x14ac:dyDescent="0.25">
      <c r="A227" s="62">
        <v>45943</v>
      </c>
      <c r="B227" s="60">
        <v>7.4980128941093351</v>
      </c>
      <c r="C227" s="61">
        <v>87745</v>
      </c>
      <c r="D227" s="60">
        <v>16.873396349544247</v>
      </c>
    </row>
    <row r="228" spans="1:4" x14ac:dyDescent="0.25">
      <c r="A228" s="62">
        <v>45940</v>
      </c>
      <c r="B228" s="60">
        <v>8.4606553033648328</v>
      </c>
      <c r="C228" s="61">
        <v>198464</v>
      </c>
      <c r="D228" s="60">
        <v>16.568813622404367</v>
      </c>
    </row>
    <row r="229" spans="1:4" x14ac:dyDescent="0.25">
      <c r="A229" s="62">
        <v>45939</v>
      </c>
      <c r="B229" s="60">
        <v>7.6746445288351142</v>
      </c>
      <c r="C229" s="61">
        <v>171737</v>
      </c>
      <c r="D229" s="60">
        <v>17.987421818056319</v>
      </c>
    </row>
    <row r="230" spans="1:4" x14ac:dyDescent="0.25">
      <c r="A230" s="62">
        <v>45938</v>
      </c>
      <c r="B230" s="60">
        <v>5.8994965998410311</v>
      </c>
      <c r="C230" s="61">
        <v>173973</v>
      </c>
      <c r="D230" s="60">
        <v>15.438836810722254</v>
      </c>
    </row>
    <row r="231" spans="1:4" x14ac:dyDescent="0.25">
      <c r="A231" s="62">
        <v>45937</v>
      </c>
      <c r="B231" s="60">
        <v>7.6039918749448026</v>
      </c>
      <c r="C231" s="61">
        <v>225472</v>
      </c>
      <c r="D231" s="60">
        <v>15.212309080846509</v>
      </c>
    </row>
    <row r="232" spans="1:4" x14ac:dyDescent="0.25">
      <c r="A232" s="62">
        <v>45936</v>
      </c>
      <c r="B232" s="60">
        <v>6.4647178309635258</v>
      </c>
      <c r="C232" s="61">
        <v>106362</v>
      </c>
      <c r="D232" s="60">
        <v>15.118431037942639</v>
      </c>
    </row>
    <row r="233" spans="1:4" x14ac:dyDescent="0.25">
      <c r="A233" s="62">
        <v>45933</v>
      </c>
      <c r="B233" s="60">
        <v>6.1467808884571227</v>
      </c>
      <c r="C233" s="61">
        <v>258411</v>
      </c>
      <c r="D233" s="60">
        <v>14.970720208983845</v>
      </c>
    </row>
    <row r="234" spans="1:4" hidden="1" x14ac:dyDescent="0.25">
      <c r="A234" s="62">
        <v>45932</v>
      </c>
      <c r="B234" s="63" t="s">
        <v>108</v>
      </c>
      <c r="C234" s="63" t="s">
        <v>108</v>
      </c>
      <c r="D234" s="60">
        <v>14.538140132379853</v>
      </c>
    </row>
    <row r="235" spans="1:4" x14ac:dyDescent="0.25">
      <c r="A235" s="62">
        <v>45931</v>
      </c>
      <c r="B235" s="60">
        <v>6.8179811004150848</v>
      </c>
      <c r="C235" s="61">
        <v>129528</v>
      </c>
      <c r="D235" s="60">
        <v>13.988101176023395</v>
      </c>
    </row>
    <row r="236" spans="1:4" x14ac:dyDescent="0.25">
      <c r="A236" s="62">
        <v>45930</v>
      </c>
      <c r="B236" s="60">
        <v>7.9395919809237832</v>
      </c>
      <c r="C236" s="61">
        <v>279155</v>
      </c>
      <c r="D236" s="60">
        <v>13.73836707014722</v>
      </c>
    </row>
    <row r="237" spans="1:4" x14ac:dyDescent="0.25">
      <c r="A237" s="62">
        <v>45929</v>
      </c>
      <c r="B237" s="60">
        <v>6.34107568665548</v>
      </c>
      <c r="C237" s="61">
        <v>214806</v>
      </c>
      <c r="D237" s="60">
        <v>12.552901991268659</v>
      </c>
    </row>
    <row r="238" spans="1:4" x14ac:dyDescent="0.25">
      <c r="A238" s="62">
        <v>45926</v>
      </c>
      <c r="B238" s="60">
        <v>6.5971915570078599</v>
      </c>
      <c r="C238" s="61">
        <v>181541</v>
      </c>
      <c r="D238" s="60">
        <v>10.875781149289637</v>
      </c>
    </row>
    <row r="239" spans="1:4" x14ac:dyDescent="0.25">
      <c r="A239" s="62">
        <v>45925</v>
      </c>
      <c r="B239" s="60">
        <v>7.224233860284377</v>
      </c>
      <c r="C239" s="61">
        <v>272540</v>
      </c>
      <c r="D239" s="60">
        <v>11.927777926243351</v>
      </c>
    </row>
    <row r="240" spans="1:4" x14ac:dyDescent="0.25">
      <c r="A240" s="62">
        <v>45924</v>
      </c>
      <c r="B240" s="60">
        <v>7.8689393270334715</v>
      </c>
      <c r="C240" s="61">
        <v>166517</v>
      </c>
      <c r="D240" s="60">
        <v>11.650841337686364</v>
      </c>
    </row>
    <row r="241" spans="1:4" x14ac:dyDescent="0.25">
      <c r="A241" s="62">
        <v>45923</v>
      </c>
      <c r="B241" s="60">
        <v>9.5204451117195088</v>
      </c>
      <c r="C241" s="61">
        <v>403638</v>
      </c>
      <c r="D241" s="60">
        <v>11.604343407735895</v>
      </c>
    </row>
    <row r="242" spans="1:4" x14ac:dyDescent="0.25">
      <c r="A242" s="62">
        <v>45922</v>
      </c>
      <c r="B242" s="60">
        <v>11.719508964055462</v>
      </c>
      <c r="C242" s="61">
        <v>499548</v>
      </c>
      <c r="D242" s="60">
        <v>12.212972384350094</v>
      </c>
    </row>
    <row r="243" spans="1:4" x14ac:dyDescent="0.25">
      <c r="A243" s="62">
        <v>45919</v>
      </c>
      <c r="B243" s="60">
        <v>10.465424357502428</v>
      </c>
      <c r="C243" s="61">
        <v>571670</v>
      </c>
      <c r="D243" s="60">
        <v>12.020699688747261</v>
      </c>
    </row>
    <row r="244" spans="1:4" x14ac:dyDescent="0.25">
      <c r="A244" s="62">
        <v>45918</v>
      </c>
      <c r="B244" s="60">
        <v>11.507551002384528</v>
      </c>
      <c r="C244" s="61">
        <v>190079</v>
      </c>
      <c r="D244" s="60">
        <v>11.33619846659297</v>
      </c>
    </row>
    <row r="245" spans="1:4" x14ac:dyDescent="0.25">
      <c r="A245" s="62">
        <v>45917</v>
      </c>
      <c r="B245" s="60">
        <v>12.346551267331979</v>
      </c>
      <c r="C245" s="61">
        <v>264319</v>
      </c>
      <c r="D245" s="60">
        <v>12.420000193667502</v>
      </c>
    </row>
    <row r="246" spans="1:4" x14ac:dyDescent="0.25">
      <c r="A246" s="62">
        <v>45916</v>
      </c>
      <c r="B246" s="60">
        <v>11.083635079042656</v>
      </c>
      <c r="C246" s="61">
        <v>189043</v>
      </c>
      <c r="D246" s="60">
        <v>12.08253334082897</v>
      </c>
    </row>
    <row r="247" spans="1:4" x14ac:dyDescent="0.25">
      <c r="A247" s="62">
        <v>45915</v>
      </c>
      <c r="B247" s="60">
        <v>9.8207188907533336</v>
      </c>
      <c r="C247" s="61">
        <v>179530</v>
      </c>
      <c r="D247" s="60">
        <v>11.948494415750254</v>
      </c>
    </row>
    <row r="248" spans="1:4" x14ac:dyDescent="0.25">
      <c r="A248" s="62">
        <v>45912</v>
      </c>
      <c r="B248" s="60">
        <v>9.2466660778945506</v>
      </c>
      <c r="C248" s="61">
        <v>153086</v>
      </c>
      <c r="D248" s="60">
        <v>12.108433318602028</v>
      </c>
    </row>
    <row r="249" spans="1:4" x14ac:dyDescent="0.25">
      <c r="A249" s="62">
        <v>45911</v>
      </c>
      <c r="B249" s="60">
        <v>9.4409608760929089</v>
      </c>
      <c r="C249" s="61">
        <v>132660</v>
      </c>
      <c r="D249" s="60">
        <v>10.877491005146446</v>
      </c>
    </row>
    <row r="250" spans="1:4" x14ac:dyDescent="0.25">
      <c r="A250" s="62">
        <v>45910</v>
      </c>
      <c r="B250" s="60">
        <v>10.20047690541376</v>
      </c>
      <c r="C250" s="61">
        <v>175576</v>
      </c>
      <c r="D250" s="60">
        <v>10.638998714928858</v>
      </c>
    </row>
    <row r="251" spans="1:4" x14ac:dyDescent="0.25">
      <c r="A251" s="62">
        <v>45909</v>
      </c>
      <c r="B251" s="60">
        <v>11.030645588624923</v>
      </c>
      <c r="C251" s="61">
        <v>240234</v>
      </c>
      <c r="D251" s="60">
        <v>10.75634493220999</v>
      </c>
    </row>
    <row r="252" spans="1:4" x14ac:dyDescent="0.25">
      <c r="A252" s="62">
        <v>45908</v>
      </c>
      <c r="B252" s="60">
        <v>11.843151108363507</v>
      </c>
      <c r="C252" s="61">
        <v>126448</v>
      </c>
      <c r="D252" s="60">
        <v>10.309065609106517</v>
      </c>
    </row>
    <row r="253" spans="1:4" x14ac:dyDescent="0.25">
      <c r="A253" s="62">
        <v>45905</v>
      </c>
      <c r="B253" s="60">
        <v>11.286761458977303</v>
      </c>
      <c r="C253" s="61">
        <v>153774</v>
      </c>
      <c r="D253" s="60">
        <v>9.882902691540755</v>
      </c>
    </row>
    <row r="254" spans="1:4" x14ac:dyDescent="0.25">
      <c r="A254" s="62">
        <v>45904</v>
      </c>
      <c r="B254" s="60">
        <v>11.728340545791751</v>
      </c>
      <c r="C254" s="61">
        <v>305040</v>
      </c>
      <c r="D254" s="60">
        <v>8.3770794164870317</v>
      </c>
    </row>
    <row r="255" spans="1:4" x14ac:dyDescent="0.25">
      <c r="A255" s="62">
        <v>45903</v>
      </c>
      <c r="B255" s="60">
        <v>12.452530248167447</v>
      </c>
      <c r="C255" s="61">
        <v>140022</v>
      </c>
      <c r="D255" s="60">
        <v>9.9273678531139193</v>
      </c>
    </row>
    <row r="256" spans="1:4" x14ac:dyDescent="0.25">
      <c r="A256" s="62">
        <v>45902</v>
      </c>
      <c r="B256" s="60">
        <v>12.42603550295858</v>
      </c>
      <c r="C256" s="61">
        <v>214101</v>
      </c>
      <c r="D256" s="60">
        <v>9.1546906103139172</v>
      </c>
    </row>
    <row r="257" spans="1:4" x14ac:dyDescent="0.25">
      <c r="A257" s="62">
        <v>45901</v>
      </c>
      <c r="B257" s="60">
        <v>13.273867349642321</v>
      </c>
      <c r="C257" s="61">
        <v>214241</v>
      </c>
      <c r="D257" s="60">
        <v>9.6571153149725948</v>
      </c>
    </row>
    <row r="258" spans="1:4" x14ac:dyDescent="0.25">
      <c r="A258" s="62">
        <v>45898</v>
      </c>
      <c r="B258" s="60">
        <v>11.631193146692572</v>
      </c>
      <c r="C258" s="61">
        <v>177858</v>
      </c>
      <c r="D258" s="60">
        <v>7.9958197019020041</v>
      </c>
    </row>
    <row r="259" spans="1:4" x14ac:dyDescent="0.25">
      <c r="A259" s="62">
        <v>45897</v>
      </c>
      <c r="B259" s="60">
        <v>10.580234920074185</v>
      </c>
      <c r="C259" s="61">
        <v>283677</v>
      </c>
      <c r="D259" s="60">
        <v>7.7138752503543841</v>
      </c>
    </row>
    <row r="260" spans="1:4" hidden="1" x14ac:dyDescent="0.25">
      <c r="A260" s="62">
        <v>45896</v>
      </c>
      <c r="B260" s="63" t="s">
        <v>108</v>
      </c>
      <c r="C260" s="63" t="s">
        <v>108</v>
      </c>
      <c r="D260" s="60">
        <v>7.99474316177972</v>
      </c>
    </row>
    <row r="261" spans="1:4" x14ac:dyDescent="0.25">
      <c r="A261" s="62">
        <v>45895</v>
      </c>
      <c r="B261" s="60">
        <v>11.366245694603904</v>
      </c>
      <c r="C261" s="61">
        <v>290322</v>
      </c>
      <c r="D261" s="60">
        <v>8.4262658311192205</v>
      </c>
    </row>
    <row r="262" spans="1:4" x14ac:dyDescent="0.25">
      <c r="A262" s="62">
        <v>45894</v>
      </c>
      <c r="B262" s="60">
        <v>11.330919367658748</v>
      </c>
      <c r="C262" s="61">
        <v>199190</v>
      </c>
      <c r="D262" s="60">
        <v>8.9647928482804584</v>
      </c>
    </row>
    <row r="263" spans="1:4" x14ac:dyDescent="0.25">
      <c r="A263" s="62">
        <v>45891</v>
      </c>
      <c r="B263" s="60">
        <v>11.180782478141834</v>
      </c>
      <c r="C263" s="61">
        <v>226948</v>
      </c>
      <c r="D263" s="60">
        <v>7.3410575401771121</v>
      </c>
    </row>
    <row r="264" spans="1:4" x14ac:dyDescent="0.25">
      <c r="A264" s="62">
        <v>45890</v>
      </c>
      <c r="B264" s="60">
        <v>13.662456946039036</v>
      </c>
      <c r="C264" s="61">
        <v>155457</v>
      </c>
      <c r="D264" s="60">
        <v>7.937064649774368</v>
      </c>
    </row>
    <row r="265" spans="1:4" x14ac:dyDescent="0.25">
      <c r="A265" s="62">
        <v>45889</v>
      </c>
      <c r="B265" s="60">
        <v>13.697783272984191</v>
      </c>
      <c r="C265" s="61">
        <v>290957</v>
      </c>
      <c r="D265" s="60">
        <v>7.7887868852951625</v>
      </c>
    </row>
    <row r="266" spans="1:4" x14ac:dyDescent="0.25">
      <c r="A266" s="62">
        <v>45888</v>
      </c>
      <c r="B266" s="60">
        <v>13.600635873885013</v>
      </c>
      <c r="C266" s="61">
        <v>351252</v>
      </c>
      <c r="D266" s="60">
        <v>7.4973301729396225</v>
      </c>
    </row>
    <row r="267" spans="1:4" x14ac:dyDescent="0.25">
      <c r="A267" s="62">
        <v>45887</v>
      </c>
      <c r="B267" s="60">
        <v>12.735140863728693</v>
      </c>
      <c r="C267" s="61">
        <v>808480</v>
      </c>
      <c r="D267" s="60">
        <v>7.6463061512526407</v>
      </c>
    </row>
    <row r="268" spans="1:4" hidden="1" x14ac:dyDescent="0.25">
      <c r="A268" s="62">
        <v>45884</v>
      </c>
      <c r="B268" s="63" t="s">
        <v>108</v>
      </c>
      <c r="C268" s="63" t="s">
        <v>108</v>
      </c>
      <c r="D268" s="60">
        <v>6.4137520118060429</v>
      </c>
    </row>
    <row r="269" spans="1:4" x14ac:dyDescent="0.25">
      <c r="A269" s="62">
        <v>45883</v>
      </c>
      <c r="B269" s="60">
        <v>8.778592245871236</v>
      </c>
      <c r="C269" s="61">
        <v>235741</v>
      </c>
      <c r="D269" s="60">
        <v>5.5289040845598461</v>
      </c>
    </row>
    <row r="270" spans="1:4" x14ac:dyDescent="0.25">
      <c r="A270" s="62">
        <v>45882</v>
      </c>
      <c r="B270" s="60">
        <v>9.5204451117195088</v>
      </c>
      <c r="C270" s="61">
        <v>207359</v>
      </c>
      <c r="D270" s="60">
        <v>6.0927134381678121</v>
      </c>
    </row>
    <row r="271" spans="1:4" x14ac:dyDescent="0.25">
      <c r="A271" s="62">
        <v>45881</v>
      </c>
      <c r="B271" s="60">
        <v>9.9443610350613802</v>
      </c>
      <c r="C271" s="61">
        <v>334100</v>
      </c>
      <c r="D271" s="60">
        <v>5.0214398716960211</v>
      </c>
    </row>
    <row r="272" spans="1:4" x14ac:dyDescent="0.25">
      <c r="A272" s="62">
        <v>45880</v>
      </c>
      <c r="B272" s="60">
        <v>9.5557714386646655</v>
      </c>
      <c r="C272" s="61">
        <v>218605</v>
      </c>
      <c r="D272" s="60">
        <v>4.8610434730738756</v>
      </c>
    </row>
    <row r="273" spans="1:4" x14ac:dyDescent="0.25">
      <c r="A273" s="62">
        <v>45877</v>
      </c>
      <c r="B273" s="60">
        <v>7.3655391680650002</v>
      </c>
      <c r="C273" s="61">
        <v>201770</v>
      </c>
      <c r="D273" s="60">
        <v>4.4146476676289863</v>
      </c>
    </row>
    <row r="274" spans="1:4" x14ac:dyDescent="0.25">
      <c r="A274" s="62">
        <v>45876</v>
      </c>
      <c r="B274" s="60">
        <v>8.3900026494745212</v>
      </c>
      <c r="C274" s="61">
        <v>202031</v>
      </c>
      <c r="D274" s="60">
        <v>4.6498616132592785</v>
      </c>
    </row>
    <row r="275" spans="1:4" x14ac:dyDescent="0.25">
      <c r="A275" s="62">
        <v>45875</v>
      </c>
      <c r="B275" s="60">
        <v>7.974918307868939</v>
      </c>
      <c r="C275" s="61">
        <v>192086</v>
      </c>
      <c r="D275" s="60">
        <v>4.1820783691677574</v>
      </c>
    </row>
    <row r="276" spans="1:4" x14ac:dyDescent="0.25">
      <c r="A276" s="62">
        <v>45874</v>
      </c>
      <c r="B276" s="60">
        <v>8.6107921928817444</v>
      </c>
      <c r="C276" s="61">
        <v>267535</v>
      </c>
      <c r="D276" s="60">
        <v>3.910982733786101</v>
      </c>
    </row>
    <row r="277" spans="1:4" x14ac:dyDescent="0.25">
      <c r="A277" s="62">
        <v>45873</v>
      </c>
      <c r="B277" s="60">
        <v>8.248697341693898</v>
      </c>
      <c r="C277" s="61">
        <v>207875</v>
      </c>
      <c r="D277" s="60">
        <v>3.5250903328953713</v>
      </c>
    </row>
    <row r="278" spans="1:4" x14ac:dyDescent="0.25">
      <c r="A278" s="62">
        <v>45870</v>
      </c>
      <c r="B278" s="60">
        <v>6.9769495716682854</v>
      </c>
      <c r="C278" s="61">
        <v>212570</v>
      </c>
      <c r="D278" s="60">
        <v>2.7408500018535356</v>
      </c>
    </row>
    <row r="279" spans="1:4" x14ac:dyDescent="0.25">
      <c r="A279" s="62">
        <v>45869</v>
      </c>
      <c r="B279" s="60">
        <v>8.1780446878035864</v>
      </c>
      <c r="C279" s="61">
        <v>150379</v>
      </c>
      <c r="D279" s="60">
        <v>3.6282169244520399</v>
      </c>
    </row>
    <row r="280" spans="1:4" x14ac:dyDescent="0.25">
      <c r="A280" s="62">
        <v>45868</v>
      </c>
      <c r="B280" s="60">
        <v>8.3458447407930763</v>
      </c>
      <c r="C280" s="61">
        <v>185681</v>
      </c>
      <c r="D280" s="60">
        <v>5.5347992450281831</v>
      </c>
    </row>
    <row r="281" spans="1:4" x14ac:dyDescent="0.25">
      <c r="A281" s="62">
        <v>45867</v>
      </c>
      <c r="B281" s="60">
        <v>7.9307603991874949</v>
      </c>
      <c r="C281" s="61">
        <v>208446</v>
      </c>
      <c r="D281" s="60">
        <v>5.2624839397649934</v>
      </c>
    </row>
    <row r="282" spans="1:4" x14ac:dyDescent="0.25">
      <c r="A282" s="62">
        <v>45866</v>
      </c>
      <c r="B282" s="60">
        <v>8.0985604521769847</v>
      </c>
      <c r="C282" s="61">
        <v>214107</v>
      </c>
      <c r="D282" s="60">
        <v>4.8293428255964752</v>
      </c>
    </row>
    <row r="283" spans="1:4" x14ac:dyDescent="0.25">
      <c r="A283" s="62">
        <v>45863</v>
      </c>
      <c r="B283" s="60">
        <v>8.1868762695398747</v>
      </c>
      <c r="C283" s="61">
        <v>290381</v>
      </c>
      <c r="D283" s="60">
        <v>5.1071386569606991</v>
      </c>
    </row>
    <row r="284" spans="1:4" x14ac:dyDescent="0.25">
      <c r="A284" s="62">
        <v>45862</v>
      </c>
      <c r="B284" s="60">
        <v>8.6637816832994794</v>
      </c>
      <c r="C284" s="61">
        <v>180080</v>
      </c>
      <c r="D284" s="60">
        <v>5.9807010119130215</v>
      </c>
    </row>
    <row r="285" spans="1:4" x14ac:dyDescent="0.25">
      <c r="A285" s="62">
        <v>45861</v>
      </c>
      <c r="B285" s="60">
        <v>9.264329241367129</v>
      </c>
      <c r="C285" s="61">
        <v>189617</v>
      </c>
      <c r="D285" s="60">
        <v>5.4823653874485769</v>
      </c>
    </row>
    <row r="286" spans="1:4" x14ac:dyDescent="0.25">
      <c r="A286" s="62">
        <v>45860</v>
      </c>
      <c r="B286" s="60">
        <v>9.9708557802702469</v>
      </c>
      <c r="C286" s="61">
        <v>533617</v>
      </c>
      <c r="D286" s="60">
        <v>4.7441436300778292</v>
      </c>
    </row>
    <row r="287" spans="1:4" x14ac:dyDescent="0.25">
      <c r="A287" s="62">
        <v>45859</v>
      </c>
      <c r="B287" s="60">
        <v>11.074803497306368</v>
      </c>
      <c r="C287" s="61">
        <v>512521</v>
      </c>
      <c r="D287" s="60">
        <v>4.3644495402848307</v>
      </c>
    </row>
    <row r="288" spans="1:4" x14ac:dyDescent="0.25">
      <c r="A288" s="62">
        <v>45856</v>
      </c>
      <c r="B288" s="60">
        <v>10.377108540139538</v>
      </c>
      <c r="C288" s="61">
        <v>98339</v>
      </c>
      <c r="D288" s="60">
        <v>2.8375930034309942</v>
      </c>
    </row>
    <row r="289" spans="1:4" x14ac:dyDescent="0.25">
      <c r="A289" s="62">
        <v>45855</v>
      </c>
      <c r="B289" s="60">
        <v>10.350613794930672</v>
      </c>
      <c r="C289" s="61">
        <v>166142</v>
      </c>
      <c r="D289" s="60">
        <v>2.2871404519548508</v>
      </c>
    </row>
    <row r="290" spans="1:4" x14ac:dyDescent="0.25">
      <c r="A290" s="62">
        <v>45854</v>
      </c>
      <c r="B290" s="60">
        <v>9.9796873620065352</v>
      </c>
      <c r="C290" s="61">
        <v>156311</v>
      </c>
      <c r="D290" s="60">
        <v>1.7402120022003262</v>
      </c>
    </row>
    <row r="291" spans="1:4" x14ac:dyDescent="0.25">
      <c r="A291" s="62">
        <v>45853</v>
      </c>
      <c r="B291" s="60">
        <v>10.412434867084695</v>
      </c>
      <c r="C291" s="61">
        <v>154124</v>
      </c>
      <c r="D291" s="60">
        <v>2.1676651963995446</v>
      </c>
    </row>
    <row r="292" spans="1:4" x14ac:dyDescent="0.25">
      <c r="A292" s="62">
        <v>45852</v>
      </c>
      <c r="B292" s="60">
        <v>10.53607701139274</v>
      </c>
      <c r="C292" s="61">
        <v>278918</v>
      </c>
      <c r="D292" s="60">
        <v>2.0708342955485182</v>
      </c>
    </row>
    <row r="293" spans="1:4" x14ac:dyDescent="0.25">
      <c r="A293" s="62">
        <v>45849</v>
      </c>
      <c r="B293" s="60">
        <v>10.350613794930672</v>
      </c>
      <c r="C293" s="61">
        <v>240034</v>
      </c>
      <c r="D293" s="60">
        <v>1.4994747352172959</v>
      </c>
    </row>
    <row r="294" spans="1:4" x14ac:dyDescent="0.25">
      <c r="A294" s="62">
        <v>45848</v>
      </c>
      <c r="B294" s="60">
        <v>10.53607701139274</v>
      </c>
      <c r="C294" s="61">
        <v>269323</v>
      </c>
      <c r="D294" s="60">
        <v>1.5841435193884024</v>
      </c>
    </row>
    <row r="295" spans="1:4" x14ac:dyDescent="0.25">
      <c r="A295" s="62">
        <v>45847</v>
      </c>
      <c r="B295" s="60">
        <v>10.942329771262033</v>
      </c>
      <c r="C295" s="61">
        <v>379924</v>
      </c>
      <c r="D295" s="60">
        <v>1.6227190069436619</v>
      </c>
    </row>
    <row r="296" spans="1:4" x14ac:dyDescent="0.25">
      <c r="A296" s="62">
        <v>45846</v>
      </c>
      <c r="B296" s="60">
        <v>9.9090347081162236</v>
      </c>
      <c r="C296" s="61">
        <v>219226</v>
      </c>
      <c r="D296" s="60">
        <v>2.3159511685197032</v>
      </c>
    </row>
    <row r="297" spans="1:4" x14ac:dyDescent="0.25">
      <c r="A297" s="62">
        <v>45845</v>
      </c>
      <c r="B297" s="60">
        <v>9.0258765344873275</v>
      </c>
      <c r="C297" s="61">
        <v>149939</v>
      </c>
      <c r="D297" s="60">
        <v>1.9223865407626635</v>
      </c>
    </row>
    <row r="298" spans="1:4" x14ac:dyDescent="0.25">
      <c r="A298" s="62">
        <v>45842</v>
      </c>
      <c r="B298" s="60">
        <v>10.447761194029852</v>
      </c>
      <c r="C298" s="61">
        <v>191516</v>
      </c>
      <c r="D298" s="60">
        <v>3.0779210656972515</v>
      </c>
    </row>
    <row r="299" spans="1:4" x14ac:dyDescent="0.25">
      <c r="A299" s="62">
        <v>45841</v>
      </c>
      <c r="B299" s="60">
        <v>9.4939503665106422</v>
      </c>
      <c r="C299" s="61">
        <v>275755</v>
      </c>
      <c r="D299" s="60">
        <v>3.7272073141022877</v>
      </c>
    </row>
    <row r="300" spans="1:4" x14ac:dyDescent="0.25">
      <c r="A300" s="62">
        <v>45840</v>
      </c>
      <c r="B300" s="60">
        <v>9.8295504724896237</v>
      </c>
      <c r="C300" s="61">
        <v>445829</v>
      </c>
      <c r="D300" s="60">
        <v>2.9763270517252072</v>
      </c>
    </row>
    <row r="301" spans="1:4" x14ac:dyDescent="0.25">
      <c r="A301" s="62">
        <v>45839</v>
      </c>
      <c r="B301" s="60">
        <v>7.8336130000883157</v>
      </c>
      <c r="C301" s="61">
        <v>207437</v>
      </c>
      <c r="D301" s="60">
        <v>2.0102952151221478</v>
      </c>
    </row>
    <row r="302" spans="1:4" x14ac:dyDescent="0.25">
      <c r="A302" s="62">
        <v>45838</v>
      </c>
      <c r="B302" s="60">
        <v>6.8003179369425064</v>
      </c>
      <c r="C302" s="61">
        <v>333104</v>
      </c>
      <c r="D302" s="60">
        <v>1.6156265354812345</v>
      </c>
    </row>
    <row r="303" spans="1:4" x14ac:dyDescent="0.25">
      <c r="A303" s="62">
        <v>45835</v>
      </c>
      <c r="B303" s="60">
        <v>7.8601077452971824</v>
      </c>
      <c r="C303" s="61">
        <v>501287</v>
      </c>
      <c r="D303" s="60">
        <v>1.9301247221161866</v>
      </c>
    </row>
    <row r="304" spans="1:4" x14ac:dyDescent="0.25">
      <c r="A304" s="62">
        <v>45834</v>
      </c>
      <c r="B304" s="60">
        <v>5.5462333303894731</v>
      </c>
      <c r="C304" s="61">
        <v>506580</v>
      </c>
      <c r="D304" s="60">
        <v>0.7658661668142438</v>
      </c>
    </row>
    <row r="305" spans="1:6" x14ac:dyDescent="0.25">
      <c r="A305" s="62">
        <v>45833</v>
      </c>
      <c r="B305" s="60">
        <v>3.6209485118784772</v>
      </c>
      <c r="C305" s="61">
        <v>253134</v>
      </c>
      <c r="D305" s="60">
        <v>-0.72424720075289983</v>
      </c>
    </row>
    <row r="306" spans="1:6" x14ac:dyDescent="0.25">
      <c r="A306" s="62">
        <v>45832</v>
      </c>
      <c r="B306" s="60">
        <v>2.260884924489976</v>
      </c>
      <c r="C306" s="61">
        <v>735700</v>
      </c>
      <c r="D306" s="60">
        <v>-1.3714203291861955</v>
      </c>
    </row>
    <row r="307" spans="1:6" x14ac:dyDescent="0.25">
      <c r="A307" s="62">
        <v>45831</v>
      </c>
      <c r="B307" s="60">
        <v>1.1127792987724101</v>
      </c>
      <c r="C307" s="61">
        <v>304907</v>
      </c>
      <c r="D307" s="60">
        <v>-3.1740839191361441</v>
      </c>
    </row>
    <row r="308" spans="1:6" x14ac:dyDescent="0.25">
      <c r="A308" s="62">
        <v>45828</v>
      </c>
      <c r="B308" s="60">
        <v>1.1922635343990109</v>
      </c>
      <c r="C308" s="61">
        <v>629895</v>
      </c>
      <c r="D308" s="60">
        <v>-3.122991464282781</v>
      </c>
    </row>
    <row r="309" spans="1:6" x14ac:dyDescent="0.25">
      <c r="A309" s="62">
        <v>45827</v>
      </c>
      <c r="B309" s="60">
        <v>0.85666342842003007</v>
      </c>
      <c r="C309" s="61">
        <v>157757</v>
      </c>
      <c r="D309" s="60">
        <v>-3.1317934234251279</v>
      </c>
    </row>
    <row r="310" spans="1:6" x14ac:dyDescent="0.25">
      <c r="A310" s="62">
        <v>45826</v>
      </c>
      <c r="B310" s="60">
        <v>0.73302128411198442</v>
      </c>
      <c r="C310" s="61">
        <v>156816</v>
      </c>
      <c r="D310" s="60">
        <v>-1.2557974372415597</v>
      </c>
    </row>
    <row r="311" spans="1:6" x14ac:dyDescent="0.25">
      <c r="A311" s="62">
        <v>45825</v>
      </c>
      <c r="B311" s="60">
        <v>0.5298949041773382</v>
      </c>
      <c r="C311" s="61">
        <v>121415</v>
      </c>
      <c r="D311" s="60">
        <v>-0.77782256151711315</v>
      </c>
    </row>
    <row r="312" spans="1:6" x14ac:dyDescent="0.25">
      <c r="A312" s="62">
        <v>45824</v>
      </c>
      <c r="B312" s="60">
        <v>1.5190320586417028</v>
      </c>
      <c r="C312" s="61">
        <v>401104</v>
      </c>
      <c r="D312" s="60">
        <v>-0.33678283831874145</v>
      </c>
    </row>
    <row r="313" spans="1:6" x14ac:dyDescent="0.25">
      <c r="A313" s="62">
        <v>45821</v>
      </c>
      <c r="B313" s="60">
        <v>-0.87432659189260797</v>
      </c>
      <c r="C313" s="61">
        <v>181355</v>
      </c>
      <c r="D313" s="60">
        <v>-0.57607729714985711</v>
      </c>
    </row>
    <row r="314" spans="1:6" x14ac:dyDescent="0.2">
      <c r="A314" s="88"/>
      <c r="B314" s="88"/>
      <c r="C314" s="88"/>
      <c r="D314" s="88"/>
      <c r="E314" s="88"/>
      <c r="F314" s="88"/>
    </row>
  </sheetData>
  <autoFilter ref="A51:D313" xr:uid="{0C40B9FA-DA84-4E2E-B257-935188557577}">
    <filterColumn colId="1">
      <filters>
        <filter val="(0.05)"/>
        <filter val="(0.67)"/>
        <filter val="(0.80)"/>
        <filter val="(0.87)"/>
        <filter val="(1.05)"/>
        <filter val="(1.40)"/>
        <filter val="(1.82)"/>
        <filter val="(1.83)"/>
        <filter val="(1.96)"/>
        <filter val="(1.98)"/>
        <filter val="(2.07)"/>
        <filter val="(2.42)"/>
        <filter val="(2.88)"/>
        <filter val="(3.25)"/>
        <filter val="(3.42)"/>
        <filter val="(3.44)"/>
        <filter val="(3.63)"/>
        <filter val="(3.64)"/>
        <filter val="(4.04)"/>
        <filter val="(4.35)"/>
        <filter val="(4.50)"/>
        <filter val="(4.66)"/>
        <filter val="(4.94)"/>
        <filter val="(5.10)"/>
        <filter val="(5.38)"/>
        <filter val="(6.21)"/>
        <filter val="(6.24)"/>
        <filter val="(8.49)"/>
        <filter val="0.40"/>
        <filter val="0.49"/>
        <filter val="0.53"/>
        <filter val="0.73"/>
        <filter val="0.76"/>
        <filter val="0.80"/>
        <filter val="0.86"/>
        <filter val="1.10"/>
        <filter val="1.11"/>
        <filter val="1.19"/>
        <filter val="1.22"/>
        <filter val="1.23"/>
        <filter val="1.32"/>
        <filter val="1.33"/>
        <filter val="1.40"/>
        <filter val="1.45"/>
        <filter val="1.52"/>
        <filter val="1.53"/>
        <filter val="1.58"/>
        <filter val="1.70"/>
        <filter val="1.81"/>
        <filter val="1.85"/>
        <filter val="1.92"/>
        <filter val="10.20"/>
        <filter val="10.35"/>
        <filter val="10.38"/>
        <filter val="10.41"/>
        <filter val="10.45"/>
        <filter val="10.47"/>
        <filter val="10.54"/>
        <filter val="10.58"/>
        <filter val="10.70"/>
        <filter val="10.94"/>
        <filter val="11.03"/>
        <filter val="11.07"/>
        <filter val="11.08"/>
        <filter val="11.18"/>
        <filter val="11.19"/>
        <filter val="11.29"/>
        <filter val="11.33"/>
        <filter val="11.37"/>
        <filter val="11.51"/>
        <filter val="11.63"/>
        <filter val="11.72"/>
        <filter val="11.73"/>
        <filter val="11.84"/>
        <filter val="11.96"/>
        <filter val="12.06"/>
        <filter val="12.11"/>
        <filter val="12.31"/>
        <filter val="12.35"/>
        <filter val="12.36"/>
        <filter val="12.43"/>
        <filter val="12.45"/>
        <filter val="12.74"/>
        <filter val="12.75"/>
        <filter val="12.81"/>
        <filter val="13.10"/>
        <filter val="13.27"/>
        <filter val="13.60"/>
        <filter val="13.66"/>
        <filter val="13.70"/>
        <filter val="14.25"/>
        <filter val="14.46"/>
        <filter val="14.48"/>
        <filter val="14.54"/>
        <filter val="14.60"/>
        <filter val="14.64"/>
        <filter val="14.67"/>
        <filter val="15.01"/>
        <filter val="15.07"/>
        <filter val="15.17"/>
        <filter val="15.23"/>
        <filter val="15.27"/>
        <filter val="2.10"/>
        <filter val="2.17"/>
        <filter val="2.21"/>
        <filter val="2.26"/>
        <filter val="2.27"/>
        <filter val="2.31"/>
        <filter val="2.32"/>
        <filter val="2.35"/>
        <filter val="2.37"/>
        <filter val="2.42"/>
        <filter val="2.45"/>
        <filter val="2.47"/>
        <filter val="2.52"/>
        <filter val="2.60"/>
        <filter val="2.65"/>
        <filter val="2.92"/>
        <filter val="2.99"/>
        <filter val="3.03"/>
        <filter val="3.14"/>
        <filter val="3.23"/>
        <filter val="3.26"/>
        <filter val="3.37"/>
        <filter val="3.39"/>
        <filter val="3.53"/>
        <filter val="3.56"/>
        <filter val="3.58"/>
        <filter val="3.59"/>
        <filter val="3.62"/>
        <filter val="3.80"/>
        <filter val="3.84"/>
        <filter val="3.85"/>
        <filter val="3.89"/>
        <filter val="4.02"/>
        <filter val="4.07"/>
        <filter val="4.08"/>
        <filter val="4.16"/>
        <filter val="4.20"/>
        <filter val="4.36"/>
        <filter val="4.38"/>
        <filter val="4.43"/>
        <filter val="4.44"/>
        <filter val="4.50"/>
        <filter val="4.65"/>
        <filter val="4.80"/>
        <filter val="4.87"/>
        <filter val="4.97"/>
        <filter val="5.09"/>
        <filter val="5.10"/>
        <filter val="5.18"/>
        <filter val="5.25"/>
        <filter val="5.28"/>
        <filter val="5.37"/>
        <filter val="5.40"/>
        <filter val="5.42"/>
        <filter val="5.51"/>
        <filter val="5.54"/>
        <filter val="5.55"/>
        <filter val="5.65"/>
        <filter val="5.86"/>
        <filter val="5.90"/>
        <filter val="5.96"/>
        <filter val="5.97"/>
        <filter val="6.07"/>
        <filter val="6.11"/>
        <filter val="6.15"/>
        <filter val="6.32"/>
        <filter val="6.34"/>
        <filter val="6.37"/>
        <filter val="6.45"/>
        <filter val="6.46"/>
        <filter val="6.50"/>
        <filter val="6.54"/>
        <filter val="6.60"/>
        <filter val="6.75"/>
        <filter val="6.80"/>
        <filter val="6.82"/>
        <filter val="6.84"/>
        <filter val="6.92"/>
        <filter val="6.98"/>
        <filter val="7.22"/>
        <filter val="7.26"/>
        <filter val="7.27"/>
        <filter val="7.37"/>
        <filter val="7.45"/>
        <filter val="7.50"/>
        <filter val="7.60"/>
        <filter val="7.67"/>
        <filter val="7.68"/>
        <filter val="7.78"/>
        <filter val="7.83"/>
        <filter val="7.86"/>
        <filter val="7.87"/>
        <filter val="7.93"/>
        <filter val="7.94"/>
        <filter val="7.97"/>
        <filter val="8.02"/>
        <filter val="8.10"/>
        <filter val="8.18"/>
        <filter val="8.19"/>
        <filter val="8.23"/>
        <filter val="8.25"/>
        <filter val="8.35"/>
        <filter val="8.39"/>
        <filter val="8.46"/>
        <filter val="8.49"/>
        <filter val="8.52"/>
        <filter val="8.60"/>
        <filter val="8.61"/>
        <filter val="8.66"/>
        <filter val="8.73"/>
        <filter val="8.78"/>
        <filter val="9.00"/>
        <filter val="9.03"/>
        <filter val="9.14"/>
        <filter val="9.19"/>
        <filter val="9.24"/>
        <filter val="9.25"/>
        <filter val="9.26"/>
        <filter val="9.32"/>
        <filter val="9.44"/>
        <filter val="9.49"/>
        <filter val="9.52"/>
        <filter val="9.56"/>
        <filter val="9.82"/>
        <filter val="9.83"/>
        <filter val="9.91"/>
        <filter val="9.94"/>
        <filter val="9.97"/>
        <filter val="9.98"/>
      </filters>
    </filterColumn>
  </autoFilter>
  <mergeCells count="42">
    <mergeCell ref="A314:F314"/>
    <mergeCell ref="A41:F41"/>
    <mergeCell ref="A42:F42"/>
    <mergeCell ref="A43:F43"/>
    <mergeCell ref="A44:F44"/>
    <mergeCell ref="A49:F49"/>
    <mergeCell ref="A50:F50"/>
    <mergeCell ref="A36:F36"/>
    <mergeCell ref="A37:F37"/>
    <mergeCell ref="A38:F38"/>
    <mergeCell ref="A39:F39"/>
    <mergeCell ref="A40:F40"/>
    <mergeCell ref="A35:F35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23:F23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11:F11"/>
    <mergeCell ref="A1:D1"/>
    <mergeCell ref="A3:F3"/>
    <mergeCell ref="A4:F4"/>
    <mergeCell ref="A5:F5"/>
    <mergeCell ref="A10:F10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Calculation</vt:lpstr>
      <vt:lpstr>Charts</vt:lpstr>
      <vt:lpstr>Nestlé India Limited</vt:lpstr>
      <vt:lpstr>Pidilite Industries Limited</vt:lpstr>
      <vt:lpstr>Divi's Laboratories Limited</vt:lpstr>
      <vt:lpstr>Bosch Limited</vt:lpstr>
      <vt:lpstr>UltraTech Cement Limited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BITS5</dc:creator>
  <cp:lastModifiedBy>Shaashwat Dhar</cp:lastModifiedBy>
  <dcterms:created xsi:type="dcterms:W3CDTF">2016-11-05T08:06:39Z</dcterms:created>
  <dcterms:modified xsi:type="dcterms:W3CDTF">2026-06-14T15:51:36Z</dcterms:modified>
</cp:coreProperties>
</file>